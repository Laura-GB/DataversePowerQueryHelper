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so1com-my.sharepoint.com/personal/lgrahambrown_hso_com/Documents/Documents/GitHub/DataversePowerQueryHelper/"/>
    </mc:Choice>
  </mc:AlternateContent>
  <xr:revisionPtr revIDLastSave="3" documentId="8_{407C8E7F-9AFC-47D0-BB31-4B04416AF9F2}" xr6:coauthVersionLast="47" xr6:coauthVersionMax="47" xr10:uidLastSave="{407F44D6-C7B7-4C9B-AF8C-B1E03731FE4A}"/>
  <bookViews>
    <workbookView xWindow="-103" yWindow="-103" windowWidth="33120" windowHeight="18120" activeTab="1" xr2:uid="{870954F1-60C7-4FAC-B5A2-B537178FE127}"/>
  </bookViews>
  <sheets>
    <sheet name="Instructions" sheetId="25" r:id="rId1"/>
    <sheet name="Entities" sheetId="4" r:id="rId2"/>
    <sheet name="Template" sheetId="8" state="veryHidden" r:id="rId3"/>
    <sheet name="Calculations" sheetId="3" state="veryHidden" r:id="rId4"/>
    <sheet name="SelectedEntities" sheetId="10" state="veryHidden" r:id="rId5"/>
    <sheet name="Column Names" sheetId="2" state="hidden" r:id="rId6"/>
  </sheets>
  <functionGroups builtInGroupCount="19"/>
  <definedNames>
    <definedName name="ColumnData">Template!$D$12</definedName>
    <definedName name="Environment">Entities!$B$2</definedName>
    <definedName name="ExternalData_1" localSheetId="5" hidden="1">'Column Names'!$A$1:$I$45</definedName>
    <definedName name="ExternalData_2" localSheetId="1" hidden="1">Entities!$A$5:$B$9</definedName>
    <definedName name="KeepColumns">Template!$A$13:$A$19</definedName>
    <definedName name="M_Code">#REF!</definedName>
    <definedName name="MCode">Template!$D$3</definedName>
    <definedName name="RenameCode">#REF!</definedName>
    <definedName name="ReNameColumns">Template!$C$13:$C$19</definedName>
    <definedName name="SelectCode">#REF!</definedName>
    <definedName name="TableName">#REF!</definedName>
    <definedName name="TableNameDisplay">Template!$E$1</definedName>
    <definedName name="TableNameInternal">Template!$F$1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0" l="1" a="1"/>
  <c r="A1" i="10" s="1"/>
  <c r="D5" i="8"/>
  <c r="A1" i="3" a="1"/>
  <c r="A13" i="8" a="1"/>
  <c r="B13" i="8" a="1"/>
  <c r="B13" i="8" l="1"/>
  <c r="A13" i="8"/>
  <c r="F4" i="3"/>
  <c r="F5" i="3"/>
  <c r="G3" i="3"/>
  <c r="G4" i="3"/>
  <c r="G5" i="3"/>
  <c r="F1" i="3"/>
  <c r="F2" i="3"/>
  <c r="F3" i="3"/>
  <c r="G1" i="3"/>
  <c r="G2" i="3"/>
  <c r="A1" i="3"/>
  <c r="Q7" i="3"/>
  <c r="P7" i="3"/>
  <c r="D6" i="8" l="1"/>
  <c r="C13" i="8"/>
  <c r="H1" i="3"/>
  <c r="H2" i="3"/>
  <c r="H5" i="3"/>
  <c r="H4" i="3"/>
  <c r="H3" i="3"/>
  <c r="R7" i="3"/>
  <c r="D7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BBCB213-5A95-4527-9C75-6326046BE46F}" keepAlive="1" name="ModelConnection_ExternalData_1" description="Data Model" type="5" refreshedVersion="7" minRefreshableVersion="5" saveData="1">
    <dbPr connection="Data Model Connection" command="Column Name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4EE88946-E5C1-4A83-9676-8A3F32819086}" keepAlive="1" name="ModelConnection_ExternalData_2" description="Data Model" type="5" refreshedVersion="7" minRefreshableVersion="5" saveData="1">
    <dbPr connection="Data Model Connection" command="EntityDefinitions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B3F581B7-F3E3-4729-A600-5A800449A750}" keepAlive="1" name="Query - Column Name Fields" description="Connection to the 'Column Name Fields' query in the workbook." type="5" refreshedVersion="7" background="1" saveData="1">
    <dbPr connection="Provider=Microsoft.Mashup.OleDb.1;Data Source=$Workbook$;Location=&quot;Column Name Fields&quot;;Extended Properties=&quot;&quot;" command="SELECT * FROM [Column Name Fields]"/>
  </connection>
  <connection id="4" xr16:uid="{FBCEDBFA-6F39-43A3-A600-9F971096AC97}" name="Query - Column Names" description="Connection to the 'Column Names' query in the workbook." type="100" refreshedVersion="7" minRefreshableVersion="5">
    <extLst>
      <ext xmlns:x15="http://schemas.microsoft.com/office/spreadsheetml/2010/11/main" uri="{DE250136-89BD-433C-8126-D09CA5730AF9}">
        <x15:connection id="4967994b-e30e-45e8-9f10-de58a368b339"/>
      </ext>
    </extLst>
  </connection>
  <connection id="5" xr16:uid="{71CEB779-605D-48B1-AF05-CA09AEC30E03}" keepAlive="1" name="Query - Column Names Source" description="Connection to the 'Column Names Source' query in the workbook." type="5" refreshedVersion="7" background="1" saveData="1">
    <dbPr connection="Provider=Microsoft.Mashup.OleDb.1;Data Source=$Workbook$;Location=&quot;Column Names Source&quot;;Extended Properties=&quot;&quot;" command="SELECT * FROM [Column Names Source]"/>
  </connection>
  <connection id="6" xr16:uid="{04651460-8B8D-4AD9-B242-FF7A4C42AC99}" keepAlive="1" name="Query - Column Yomi Name Fields" description="Connection to the 'Column Yomi Name Fields' query in the workbook." type="5" refreshedVersion="7" background="1" saveData="1">
    <dbPr connection="Provider=Microsoft.Mashup.OleDb.1;Data Source=$Workbook$;Location=&quot;Column Yomi Name Fields&quot;;Extended Properties=&quot;&quot;" command="SELECT * FROM [Column Yomi Name Fields]"/>
  </connection>
  <connection id="7" xr16:uid="{2FF6ECDF-75D5-423A-94BE-1FC2C10883E3}" name="Query - EntityDefinitions" description="Connection to the 'EntityDefinitions' query in the workbook." type="100" refreshedVersion="7" minRefreshableVersion="5" saveData="1">
    <extLst>
      <ext xmlns:x15="http://schemas.microsoft.com/office/spreadsheetml/2010/11/main" uri="{DE250136-89BD-433C-8126-D09CA5730AF9}">
        <x15:connection id="06991d8a-b16a-4ad4-8448-758acf592c67" excludeFromRefreshAll="1"/>
      </ext>
    </extLst>
  </connection>
  <connection id="8" xr16:uid="{298B84F3-E35F-4284-AACD-4603AECF2B71}" keepAlive="1" name="Query - Environment(1)" description="Connection to the 'Environment' query in the workbook." type="5" refreshedVersion="0" background="1">
    <dbPr connection="Provider=Microsoft.Mashup.OleDb.1;Data Source=$Workbook$;Location=Environment;Extended Properties=&quot;&quot;" command="SELECT * FROM [Environment]"/>
  </connection>
  <connection id="9" xr16:uid="{08B2C3A6-FC33-465E-B637-1E2FC861737D}" keepAlive="1" name="Query - TableName" description="Connection to the 'TableName' query in the workbook." type="5" refreshedVersion="0" background="1">
    <dbPr connection="Provider=Microsoft.Mashup.OleDb.1;Data Source=$Workbook$;Location=TableName;Extended Properties=&quot;&quot;" command="SELECT * FROM [TableName]"/>
  </connection>
  <connection id="10" xr16:uid="{117DE78A-5112-42C0-9B82-F009719CCFBC}" keepAlive="1" name="Query - ViewColumnNames" description="Connection to the 'ViewColumnNames' query in the workbook." type="5" refreshedVersion="7" background="1" saveData="1">
    <dbPr connection="Provider=Microsoft.Mashup.OleDb.1;Data Source=$Workbook$;Location=ViewColumnNames;Extended Properties=&quot;&quot;" command="SELECT * FROM [ViewColumnNames]"/>
  </connection>
  <connection id="11" xr16:uid="{6410D1B4-B35F-4FDA-A743-ECE654A5FA63}" name="Query - ViewColumns" description="Connection to the 'ViewColumns' query in the workbook." type="100" refreshedVersion="7" minRefreshableVersion="5">
    <extLst>
      <ext xmlns:x15="http://schemas.microsoft.com/office/spreadsheetml/2010/11/main" uri="{DE250136-89BD-433C-8126-D09CA5730AF9}">
        <x15:connection id="f4a8182c-5472-495c-a836-e68ce72e024c">
          <x15:oledbPr connection="Provider=Microsoft.Mashup.OleDb.1;Data Source=$Workbook$;Location=ViewColumns;Extended Properties=&quot;&quot;">
            <x15:dbTables>
              <x15:dbTable name="ViewColumns"/>
            </x15:dbTables>
          </x15:oledbPr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<sst xmlns="http://schemas.openxmlformats.org/spreadsheetml/2006/main" count="150" uniqueCount="129">
  <si>
    <t>LogicalName</t>
  </si>
  <si>
    <t>Label</t>
  </si>
  <si>
    <t>account</t>
  </si>
  <si>
    <t>Account</t>
  </si>
  <si>
    <t>modifiedbyname</t>
  </si>
  <si>
    <t>modifiedonbehalfbyname</t>
  </si>
  <si>
    <t>createdonbehalfbyyominame</t>
  </si>
  <si>
    <t>createdonbehalfbyname</t>
  </si>
  <si>
    <t>createdbyname</t>
  </si>
  <si>
    <t>modifiedonbehalfbyyominame</t>
  </si>
  <si>
    <t>modifiedby</t>
  </si>
  <si>
    <t>Modified By</t>
  </si>
  <si>
    <t>modifiedonbehalfby</t>
  </si>
  <si>
    <t>Owner</t>
  </si>
  <si>
    <t>createdby</t>
  </si>
  <si>
    <t>Created By</t>
  </si>
  <si>
    <t>modifiedon</t>
  </si>
  <si>
    <t>Modified On</t>
  </si>
  <si>
    <t>createdon</t>
  </si>
  <si>
    <t>Created On</t>
  </si>
  <si>
    <t>timezoneruleversionnumber</t>
  </si>
  <si>
    <t>createdonbehalfby</t>
  </si>
  <si>
    <t>Created By (Delegate)</t>
  </si>
  <si>
    <t>utcconversiontimezonecode</t>
  </si>
  <si>
    <t>Keep</t>
  </si>
  <si>
    <t>contact</t>
  </si>
  <si>
    <t>Contact</t>
  </si>
  <si>
    <t>SchemaName</t>
  </si>
  <si>
    <t>aciviewmapper</t>
  </si>
  <si>
    <t>ACIViewMapper</t>
  </si>
  <si>
    <t>actioncard</t>
  </si>
  <si>
    <t>ActionCard</t>
  </si>
  <si>
    <t>actioncardusersettings</t>
  </si>
  <si>
    <t>ActionCardUserSettings</t>
  </si>
  <si>
    <t>let</t>
  </si>
  <si>
    <t xml:space="preserve">in </t>
  </si>
  <si>
    <t xml:space="preserve">    RenamedColumns</t>
  </si>
  <si>
    <t xml:space="preserve">    Source = CommonDataService.Database(Environment),</t>
  </si>
  <si>
    <t>accountid</t>
  </si>
  <si>
    <t>Dataverse Environment Path</t>
  </si>
  <si>
    <t>Y</t>
  </si>
  <si>
    <t>Created By Name</t>
  </si>
  <si>
    <t>Created By (Delegate) Name</t>
  </si>
  <si>
    <t>Created By (Delegate) Yomi Name</t>
  </si>
  <si>
    <t>Modified By Name</t>
  </si>
  <si>
    <t>strLogicalName</t>
  </si>
  <si>
    <t>strLabel</t>
  </si>
  <si>
    <t>RenameCode</t>
  </si>
  <si>
    <t>Table</t>
  </si>
  <si>
    <t>Use</t>
  </si>
  <si>
    <t>Instructions</t>
  </si>
  <si>
    <t>On the Entities sheet enter in the data environment path and press refresh.</t>
  </si>
  <si>
    <t>Put a Y next to every entity you wish to use in your report and press Create sheets</t>
  </si>
  <si>
    <t>On the newly created sheets put Y in the Keep column for every column you need in your report</t>
  </si>
  <si>
    <t>In Power BI Power Query create a parameter called Environment</t>
  </si>
  <si>
    <t>Create blank queries for each entity. Copy and paste in the M code in the blue cells into the advanced editor of each query</t>
  </si>
  <si>
    <t>Notes</t>
  </si>
  <si>
    <t>This is version 1. Future features planned include the following</t>
  </si>
  <si>
    <t>Refresh a entity page to get newly added columns</t>
  </si>
  <si>
    <t>Adding default filters.</t>
  </si>
  <si>
    <t>createdbyyominame</t>
  </si>
  <si>
    <t>Created By Yomi Name</t>
  </si>
  <si>
    <t>exchangerate</t>
  </si>
  <si>
    <t>Exchange Rate</t>
  </si>
  <si>
    <t>importsequencenumber</t>
  </si>
  <si>
    <t>Import Sequence Number</t>
  </si>
  <si>
    <t>modifiedbyyominame</t>
  </si>
  <si>
    <t>Modified By Yomi Name</t>
  </si>
  <si>
    <t>Modified By (Delegate)</t>
  </si>
  <si>
    <t>Modified By (Delegate) Name</t>
  </si>
  <si>
    <t>Modified By (Delegate) Yomi Name</t>
  </si>
  <si>
    <t>overriddencreatedon</t>
  </si>
  <si>
    <t>Record Created On</t>
  </si>
  <si>
    <t>owneridname</t>
  </si>
  <si>
    <t>Owner Name</t>
  </si>
  <si>
    <t>owneridtype</t>
  </si>
  <si>
    <t>owneridyominame</t>
  </si>
  <si>
    <t>Owner Yomi Name</t>
  </si>
  <si>
    <t>owningbusinessunit</t>
  </si>
  <si>
    <t>Owning Business Unit</t>
  </si>
  <si>
    <t>owningteam</t>
  </si>
  <si>
    <t>Owning Team</t>
  </si>
  <si>
    <t>owninguser</t>
  </si>
  <si>
    <t>Owning User</t>
  </si>
  <si>
    <t>statecodename</t>
  </si>
  <si>
    <t>Status Name</t>
  </si>
  <si>
    <t>statuscodename</t>
  </si>
  <si>
    <t>Status Reason Name</t>
  </si>
  <si>
    <t>Time Zone Rule Version Number</t>
  </si>
  <si>
    <t>transactioncurrencyid</t>
  </si>
  <si>
    <t>Currency</t>
  </si>
  <si>
    <t>transactioncurrencyidname</t>
  </si>
  <si>
    <t>Currency Name</t>
  </si>
  <si>
    <t>UTC Conversion Time Zone Code</t>
  </si>
  <si>
    <t>versionnumber</t>
  </si>
  <si>
    <t>Version Number</t>
  </si>
  <si>
    <t>ownerid</t>
  </si>
  <si>
    <t>statecode</t>
  </si>
  <si>
    <t>Status</t>
  </si>
  <si>
    <t>statuscode</t>
  </si>
  <si>
    <t>Status Reason</t>
  </si>
  <si>
    <t>orgc93933e5.crm4.dynamics.com</t>
  </si>
  <si>
    <t>lgb_name</t>
  </si>
  <si>
    <t>Name</t>
  </si>
  <si>
    <t>Active Expenses</t>
  </si>
  <si>
    <t>Expense Lookup View</t>
  </si>
  <si>
    <t>Quick Find Active Expenses</t>
  </si>
  <si>
    <t>Expense Advanced Find View</t>
  </si>
  <si>
    <t>Expense Associated View</t>
  </si>
  <si>
    <t>Inactive Expenses</t>
  </si>
  <si>
    <t>lgb_amount</t>
  </si>
  <si>
    <t>Amount</t>
  </si>
  <si>
    <t>lgb_amount_base</t>
  </si>
  <si>
    <t>Amount (Base)</t>
  </si>
  <si>
    <t>lgb_customer</t>
  </si>
  <si>
    <t>Customer</t>
  </si>
  <si>
    <t>lgb_customeridtype</t>
  </si>
  <si>
    <t>lgb_customername</t>
  </si>
  <si>
    <t>Customer Name</t>
  </si>
  <si>
    <t>lgb_customeryominame</t>
  </si>
  <si>
    <t>Customer Yomi Name</t>
  </si>
  <si>
    <t>lgb_expensedate</t>
  </si>
  <si>
    <t>Expense Date</t>
  </si>
  <si>
    <t>lgb_expenseid</t>
  </si>
  <si>
    <t>Expense</t>
  </si>
  <si>
    <t>lgb_expensetype</t>
  </si>
  <si>
    <t>Expense Type</t>
  </si>
  <si>
    <t>lgb_expensetypename</t>
  </si>
  <si>
    <t>Expense Type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</si>
</sst>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1" applyNumberFormat="0" applyFill="0" applyAlignment="0" applyProtection="0"/>
    <xf numFmtId="0" fontId="4" fillId="0" borderId="2" applyNumberFormat="0" applyFill="0" applyAlignment="0" applyProtection="0"/>
  </cellStyleXfs>
  <cellXfs count="9">
    <xf numFmtId="0" fontId="0" fillId="0" borderId="0" xfId="0"/>
    <xf numFmtId="0" fontId="0" fillId="0" borderId="0" xfId="0" applyNumberFormat="1"/>
    <xf numFmtId="0" fontId="4" fillId="0" borderId="0" xfId="2" applyBorder="1"/>
    <xf numFmtId="0" fontId="3" fillId="0" borderId="1" xfId="1"/>
    <xf numFmtId="0" fontId="0" fillId="2" borderId="0" xfId="0" applyFill="1" applyAlignment="1"/>
    <xf numFmtId="0" fontId="0" fillId="2" borderId="0" xfId="0" applyFill="1"/>
    <xf numFmtId="0" fontId="5" fillId="0" borderId="0" xfId="0" applyFont="1" applyAlignment="1">
      <alignment wrapText="1"/>
    </xf>
    <xf numFmtId="0" fontId="1" fillId="3" borderId="3" xfId="0" applyFont="1" applyFill="1" applyBorder="1" applyAlignment="1" applyProtection="1">
      <alignment horizontal="left" vertical="center"/>
      <protection locked="0"/>
    </xf>
    <xf numFmtId="0" fontId="2" fillId="3" borderId="4" xfId="0" applyFont="1" applyFill="1" applyBorder="1" applyAlignment="1" applyProtection="1">
      <alignment horizontal="left" vertical="center"/>
      <protection locked="0"/>
    </xf>
  </cellXfs>
  <cellStyles count="3">
    <cellStyle name="Heading 1" xfId="1" builtinId="16"/>
    <cellStyle name="Heading 2" xfId="2" builtinId="17"/>
    <cellStyle name="Normal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187625</xdr:colOff>
      <xdr:row>0</xdr:row>
      <xdr:rowOff>111738</xdr:rowOff>
    </xdr:from>
    <xdr:to>
      <xdr:col>7</xdr:col>
      <xdr:colOff>187583</xdr:colOff>
      <xdr:row>5</xdr:row>
      <xdr:rowOff>149612</xdr:rowOff>
    </xdr:to>
    <xdr:sp macro="[0]!RefreshTableNames" textlink="">
      <xdr:nvSpPr>
        <xdr:cNvPr id="2" name="Rectangle 1">
          <a:extLst>
            <a:ext uri="{FF2B5EF4-FFF2-40B4-BE49-F238E27FC236}">
              <a16:creationId xmlns:a16="http://schemas.microsoft.com/office/drawing/2014/main" id="{28C25BD9-829D-463E-AB19-2311D9BB0959}"/>
            </a:ext>
          </a:extLst>
        </xdr:cNvPr>
        <xdr:cNvSpPr/>
      </xdr:nvSpPr>
      <xdr:spPr>
        <a:xfrm>
          <a:off x="7612063" y="98424"/>
          <a:ext cx="1244875" cy="101758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Refresh Tables</a:t>
          </a:r>
        </a:p>
      </xdr:txBody>
    </xdr:sp>
    <xdr:clientData/>
  </xdr:twoCellAnchor>
  <xdr:twoCellAnchor editAs="absolute">
    <xdr:from>
      <xdr:col>7</xdr:col>
      <xdr:colOff>378307</xdr:colOff>
      <xdr:row>0</xdr:row>
      <xdr:rowOff>111966</xdr:rowOff>
    </xdr:from>
    <xdr:to>
      <xdr:col>9</xdr:col>
      <xdr:colOff>571529</xdr:colOff>
      <xdr:row>5</xdr:row>
      <xdr:rowOff>150065</xdr:rowOff>
    </xdr:to>
    <xdr:sp macro="[0]!CreateSheets" textlink="">
      <xdr:nvSpPr>
        <xdr:cNvPr id="3" name="Rectangle 2">
          <a:extLst>
            <a:ext uri="{FF2B5EF4-FFF2-40B4-BE49-F238E27FC236}">
              <a16:creationId xmlns:a16="http://schemas.microsoft.com/office/drawing/2014/main" id="{3BDD950E-D13C-4455-88C8-A1744C090A9F}"/>
            </a:ext>
          </a:extLst>
        </xdr:cNvPr>
        <xdr:cNvSpPr/>
      </xdr:nvSpPr>
      <xdr:spPr>
        <a:xfrm>
          <a:off x="9055101" y="95251"/>
          <a:ext cx="1428749" cy="102234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Create Sheets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growShrinkType="overwriteClear" connectionId="2" xr16:uid="{5BEEA0BE-F037-4C02-ABF7-75539C76A8BA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LogicalName" tableColumnId="1"/>
      <queryTableField id="2" name="SchemaName" tableColumnId="2"/>
      <queryTableField id="3" dataBound="0" tableColumnId="3"/>
    </queryTableFields>
  </queryTableRefresh>
  <extLst>
    <ext xmlns:x15="http://schemas.microsoft.com/office/spreadsheetml/2010/11/main" uri="{883FBD77-0823-4a55-B5E3-86C4891E6966}">
      <x15:queryTable sourceDataName="Query - EntityDefinition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C8CA76B6-81AE-444B-A0E4-D6F52C213F18}" autoFormatId="16" applyNumberFormats="0" applyBorderFormats="0" applyFontFormats="0" applyPatternFormats="0" applyAlignmentFormats="0" applyWidthHeightFormats="0">
  <queryTableRefresh nextId="1235">
    <queryTableFields count="9">
      <queryTableField id="3" name="LogicalName" tableColumnId="3"/>
      <queryTableField id="4" name="Label" tableColumnId="4"/>
      <queryTableField id="6" name="Keep" tableColumnId="5"/>
      <queryTableField id="1229" name="Active Expenses" tableColumnId="1"/>
      <queryTableField id="1230" name="Expense Lookup View" tableColumnId="2"/>
      <queryTableField id="1231" name="Quick Find Active Expenses" tableColumnId="6"/>
      <queryTableField id="1232" name="Expense Advanced Find View" tableColumnId="7"/>
      <queryTableField id="1233" name="Expense Associated View" tableColumnId="8"/>
      <queryTableField id="1234" name="Inactive Expenses" tableColumnId="9"/>
    </queryTableFields>
  </queryTableRefresh>
  <extLst>
    <ext xmlns:x15="http://schemas.microsoft.com/office/spreadsheetml/2010/11/main" uri="{883FBD77-0823-4a55-B5E3-86C4891E6966}">
      <x15:queryTable sourceDataName="Query - Column Name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B35B0C-742E-4718-A031-AC9E2634C0CA}" name="EntityDefinitions" displayName="EntityDefinitions" ref="A5:C9" tableType="queryTable" totalsRowShown="0">
  <autoFilter ref="A5:C9" xr:uid="{ECFA8FE1-1736-4F99-8110-8E1231A9C0C7}"/>
  <tableColumns count="3">
    <tableColumn id="1" xr3:uid="{E18EBBF2-EE4B-4638-9F7B-E81A3B3FBABE}" uniqueName="1" name="LogicalName" queryTableFieldId="1" dataDxfId="11"/>
    <tableColumn id="2" xr3:uid="{267CF316-A149-49B0-96A7-07F45E3D17B2}" uniqueName="2" name="SchemaName" queryTableFieldId="2" dataDxfId="10"/>
    <tableColumn id="3" xr3:uid="{6B271576-2CCD-4DF6-B053-16392863B79C}" uniqueName="3" name="Use" queryTableFieldId="3" dataDxf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29DBEE-DFC3-47C2-AAB4-27333BC883DE}" name="Column_Names" displayName="Column_Names" ref="A1:I45" tableType="queryTable" totalsRowShown="0">
  <autoFilter ref="A1:I45" xr:uid="{FBA2D28E-ECDC-43A5-833B-69C840DE2AC4}"/>
  <sortState xmlns:xlrd2="http://schemas.microsoft.com/office/spreadsheetml/2017/richdata2" ref="A2:I45">
    <sortCondition ref="A1:A45"/>
  </sortState>
  <tableColumns count="9">
    <tableColumn id="3" xr3:uid="{A8960BB7-8BCB-45E8-8CD4-2FDF2AD27633}" uniqueName="3" name="LogicalName" queryTableFieldId="3" dataDxfId="8"/>
    <tableColumn id="4" xr3:uid="{B54345BE-B686-41C9-9AD6-ECFDBD7B006D}" uniqueName="4" name="Label" queryTableFieldId="4" dataDxfId="7"/>
    <tableColumn id="5" xr3:uid="{AABD460E-5D89-4F18-BAFC-C6965880CB12}" uniqueName="5" name="Keep" queryTableFieldId="6" dataDxfId="6"/>
    <tableColumn id="1" xr3:uid="{CC464072-CEFA-48AE-B6AE-FF964ECA241D}" uniqueName="1" name="Active Expenses" queryTableFieldId="1229" dataDxfId="5"/>
    <tableColumn id="2" xr3:uid="{B0523D4B-721E-4529-ACBC-9A9763D6C44A}" uniqueName="2" name="Expense Lookup View" queryTableFieldId="1230" dataDxfId="4"/>
    <tableColumn id="6" xr3:uid="{D90FC13B-5B80-4502-8FB1-47A39D35154E}" uniqueName="6" name="Quick Find Active Expenses" queryTableFieldId="1231" dataDxfId="3"/>
    <tableColumn id="7" xr3:uid="{1F91B0B2-70CF-4F0F-8964-384EC467B8B3}" uniqueName="7" name="Expense Advanced Find View" queryTableFieldId="1232" dataDxfId="2"/>
    <tableColumn id="8" xr3:uid="{4C85CA1B-A13A-429C-83A6-CB69784DE9BE}" uniqueName="8" name="Expense Associated View" queryTableFieldId="1233" dataDxfId="1"/>
    <tableColumn id="9" xr3:uid="{3EB075A6-0689-4454-9206-E28F92B69CD6}" uniqueName="9" name="Inactive Expenses" queryTableFieldId="123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A38C3-4DE5-41B1-8F4D-F3DA7E1FB2D3}">
  <sheetPr codeName="Sheet10"/>
  <dimension ref="B2:B22"/>
  <sheetViews>
    <sheetView topLeftCell="A2" workbookViewId="0">
      <selection activeCell="B17" sqref="B17"/>
    </sheetView>
  </sheetViews>
  <sheetFormatPr defaultRowHeight="14.6" x14ac:dyDescent="0.4"/>
  <cols>
    <col min="2" max="2" width="73" customWidth="1"/>
  </cols>
  <sheetData>
    <row r="2" spans="2:2" ht="19.75" thickBot="1" x14ac:dyDescent="0.55000000000000004">
      <c r="B2" s="3" t="s">
        <v>50</v>
      </c>
    </row>
    <row r="3" spans="2:2" ht="15" thickTop="1" x14ac:dyDescent="0.4"/>
    <row r="4" spans="2:2" ht="15.9" x14ac:dyDescent="0.45">
      <c r="B4" s="6" t="s">
        <v>51</v>
      </c>
    </row>
    <row r="5" spans="2:2" ht="15.9" x14ac:dyDescent="0.45">
      <c r="B5" s="6"/>
    </row>
    <row r="6" spans="2:2" ht="31.75" x14ac:dyDescent="0.45">
      <c r="B6" s="6" t="s">
        <v>52</v>
      </c>
    </row>
    <row r="7" spans="2:2" ht="15.9" x14ac:dyDescent="0.45">
      <c r="B7" s="6"/>
    </row>
    <row r="8" spans="2:2" ht="31.75" x14ac:dyDescent="0.45">
      <c r="B8" s="6" t="s">
        <v>53</v>
      </c>
    </row>
    <row r="9" spans="2:2" ht="15.9" x14ac:dyDescent="0.45">
      <c r="B9" s="6"/>
    </row>
    <row r="10" spans="2:2" ht="15.9" x14ac:dyDescent="0.45">
      <c r="B10" s="6" t="s">
        <v>54</v>
      </c>
    </row>
    <row r="11" spans="2:2" ht="15.9" x14ac:dyDescent="0.45">
      <c r="B11" s="6"/>
    </row>
    <row r="12" spans="2:2" ht="31.75" x14ac:dyDescent="0.45">
      <c r="B12" s="6" t="s">
        <v>55</v>
      </c>
    </row>
    <row r="15" spans="2:2" ht="19.75" thickBot="1" x14ac:dyDescent="0.55000000000000004">
      <c r="B15" s="3" t="s">
        <v>56</v>
      </c>
    </row>
    <row r="16" spans="2:2" ht="16.3" thickTop="1" x14ac:dyDescent="0.45">
      <c r="B16" s="6"/>
    </row>
    <row r="17" spans="2:2" ht="15.9" x14ac:dyDescent="0.45">
      <c r="B17" s="6" t="s">
        <v>57</v>
      </c>
    </row>
    <row r="18" spans="2:2" ht="15.9" x14ac:dyDescent="0.45">
      <c r="B18" s="6"/>
    </row>
    <row r="19" spans="2:2" ht="15.9" x14ac:dyDescent="0.45">
      <c r="B19" s="6" t="s">
        <v>58</v>
      </c>
    </row>
    <row r="20" spans="2:2" ht="15.9" x14ac:dyDescent="0.45">
      <c r="B20" s="6"/>
    </row>
    <row r="21" spans="2:2" ht="15.9" x14ac:dyDescent="0.45">
      <c r="B21" s="6" t="s">
        <v>59</v>
      </c>
    </row>
    <row r="22" spans="2:2" ht="15.9" x14ac:dyDescent="0.45">
      <c r="B22" s="6"/>
    </row>
  </sheetData>
  <sheetProtection algorithmName="SHA-512" hashValue="ibDWPBFe6Vg4mdiDJCLQbOa+IZMt3U4ntf65lLcym37+7XTxt5b60moB66fKIU287qE2iIbYGofuQN9Qrep9cQ==" saltValue="wSEa/ZeJRpKwTBx6BxsCeQ==" spinCount="100000" sheet="1" objects="1" scenarios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DB809-92FF-4123-BDD3-9ACE57178BD2}">
  <sheetPr codeName="Sheet4"/>
  <dimension ref="A1:C497"/>
  <sheetViews>
    <sheetView tabSelected="1" workbookViewId="0">
      <selection activeCell="E12" sqref="E12"/>
    </sheetView>
  </sheetViews>
  <sheetFormatPr defaultRowHeight="14.6" x14ac:dyDescent="0.4"/>
  <cols>
    <col min="1" max="2" width="41.4609375" bestFit="1" customWidth="1"/>
    <col min="3" max="3" width="6.23046875" bestFit="1" customWidth="1"/>
  </cols>
  <sheetData>
    <row r="1" spans="1:3" ht="15" thickBot="1" x14ac:dyDescent="0.45"/>
    <row r="2" spans="1:3" ht="18.899999999999999" thickBot="1" x14ac:dyDescent="0.5">
      <c r="A2" s="2" t="s">
        <v>39</v>
      </c>
      <c r="B2" s="7" t="s">
        <v>101</v>
      </c>
      <c r="C2" s="8"/>
    </row>
    <row r="5" spans="1:3" x14ac:dyDescent="0.4">
      <c r="A5" t="s">
        <v>0</v>
      </c>
      <c r="B5" t="s">
        <v>27</v>
      </c>
      <c r="C5" t="s">
        <v>49</v>
      </c>
    </row>
    <row r="6" spans="1:3" x14ac:dyDescent="0.4">
      <c r="A6" s="1" t="s">
        <v>28</v>
      </c>
      <c r="B6" s="1" t="s">
        <v>29</v>
      </c>
      <c r="C6" s="1"/>
    </row>
    <row r="7" spans="1:3" x14ac:dyDescent="0.4">
      <c r="A7" s="1" t="s">
        <v>2</v>
      </c>
      <c r="B7" s="1" t="s">
        <v>3</v>
      </c>
      <c r="C7" s="1"/>
    </row>
    <row r="8" spans="1:3" x14ac:dyDescent="0.4">
      <c r="A8" s="1" t="s">
        <v>30</v>
      </c>
      <c r="B8" s="1" t="s">
        <v>31</v>
      </c>
      <c r="C8" s="1"/>
    </row>
    <row r="9" spans="1:3" x14ac:dyDescent="0.4">
      <c r="A9" s="1" t="s">
        <v>32</v>
      </c>
      <c r="B9" s="1" t="s">
        <v>33</v>
      </c>
      <c r="C9" s="1"/>
    </row>
    <row r="10" spans="1:3" x14ac:dyDescent="0.4">
      <c r="A10" s="1"/>
      <c r="B10" s="1"/>
      <c r="C10" s="1"/>
    </row>
    <row r="11" spans="1:3" x14ac:dyDescent="0.4">
      <c r="A11" s="1"/>
      <c r="B11" s="1"/>
      <c r="C11" s="1"/>
    </row>
    <row r="12" spans="1:3" x14ac:dyDescent="0.4">
      <c r="A12" s="1"/>
      <c r="B12" s="1"/>
      <c r="C12" s="1"/>
    </row>
    <row r="13" spans="1:3" x14ac:dyDescent="0.4">
      <c r="A13" s="1"/>
      <c r="B13" s="1"/>
      <c r="C13" s="1"/>
    </row>
    <row r="14" spans="1:3" x14ac:dyDescent="0.4">
      <c r="A14" s="1"/>
      <c r="B14" s="1"/>
      <c r="C14" s="1"/>
    </row>
    <row r="15" spans="1:3" x14ac:dyDescent="0.4">
      <c r="A15" s="1"/>
      <c r="B15" s="1"/>
      <c r="C15" s="1"/>
    </row>
    <row r="16" spans="1:3" x14ac:dyDescent="0.4">
      <c r="A16" s="1"/>
      <c r="B16" s="1"/>
      <c r="C16" s="1"/>
    </row>
    <row r="17" spans="1:3" x14ac:dyDescent="0.4">
      <c r="A17" s="1"/>
      <c r="B17" s="1"/>
      <c r="C17" s="1"/>
    </row>
    <row r="18" spans="1:3" x14ac:dyDescent="0.4">
      <c r="A18" s="1"/>
      <c r="B18" s="1"/>
      <c r="C18" s="1"/>
    </row>
    <row r="19" spans="1:3" x14ac:dyDescent="0.4">
      <c r="A19" s="1"/>
      <c r="B19" s="1"/>
      <c r="C19" s="1"/>
    </row>
    <row r="20" spans="1:3" x14ac:dyDescent="0.4">
      <c r="A20" s="1"/>
      <c r="B20" s="1"/>
      <c r="C20" s="1"/>
    </row>
    <row r="21" spans="1:3" x14ac:dyDescent="0.4">
      <c r="A21" s="1"/>
      <c r="B21" s="1"/>
      <c r="C21" s="1"/>
    </row>
    <row r="22" spans="1:3" x14ac:dyDescent="0.4">
      <c r="A22" s="1"/>
      <c r="B22" s="1"/>
      <c r="C22" s="1"/>
    </row>
    <row r="23" spans="1:3" x14ac:dyDescent="0.4">
      <c r="A23" s="1"/>
      <c r="B23" s="1"/>
      <c r="C23" s="1"/>
    </row>
    <row r="24" spans="1:3" x14ac:dyDescent="0.4">
      <c r="A24" s="1"/>
      <c r="B24" s="1"/>
      <c r="C24" s="1"/>
    </row>
    <row r="25" spans="1:3" x14ac:dyDescent="0.4">
      <c r="A25" s="1"/>
      <c r="B25" s="1"/>
      <c r="C25" s="1"/>
    </row>
    <row r="26" spans="1:3" x14ac:dyDescent="0.4">
      <c r="A26" s="1"/>
      <c r="B26" s="1"/>
      <c r="C26" s="1"/>
    </row>
    <row r="27" spans="1:3" x14ac:dyDescent="0.4">
      <c r="A27" s="1"/>
      <c r="B27" s="1"/>
      <c r="C27" s="1"/>
    </row>
    <row r="28" spans="1:3" x14ac:dyDescent="0.4">
      <c r="A28" s="1"/>
      <c r="B28" s="1"/>
      <c r="C28" s="1"/>
    </row>
    <row r="29" spans="1:3" x14ac:dyDescent="0.4">
      <c r="A29" s="1"/>
      <c r="B29" s="1"/>
      <c r="C29" s="1"/>
    </row>
    <row r="30" spans="1:3" x14ac:dyDescent="0.4">
      <c r="A30" s="1"/>
      <c r="B30" s="1"/>
      <c r="C30" s="1"/>
    </row>
    <row r="31" spans="1:3" x14ac:dyDescent="0.4">
      <c r="A31" s="1"/>
      <c r="B31" s="1"/>
      <c r="C31" s="1"/>
    </row>
    <row r="32" spans="1:3" x14ac:dyDescent="0.4">
      <c r="A32" s="1"/>
      <c r="B32" s="1"/>
      <c r="C32" s="1"/>
    </row>
    <row r="33" spans="1:3" x14ac:dyDescent="0.4">
      <c r="A33" s="1"/>
      <c r="B33" s="1"/>
      <c r="C33" s="1"/>
    </row>
    <row r="34" spans="1:3" x14ac:dyDescent="0.4">
      <c r="A34" s="1"/>
      <c r="B34" s="1"/>
      <c r="C34" s="1"/>
    </row>
    <row r="35" spans="1:3" x14ac:dyDescent="0.4">
      <c r="A35" s="1"/>
      <c r="B35" s="1"/>
      <c r="C35" s="1"/>
    </row>
    <row r="36" spans="1:3" x14ac:dyDescent="0.4">
      <c r="A36" s="1"/>
      <c r="B36" s="1"/>
      <c r="C36" s="1"/>
    </row>
    <row r="37" spans="1:3" x14ac:dyDescent="0.4">
      <c r="A37" s="1"/>
      <c r="B37" s="1"/>
      <c r="C37" s="1"/>
    </row>
    <row r="38" spans="1:3" x14ac:dyDescent="0.4">
      <c r="A38" s="1"/>
      <c r="B38" s="1"/>
      <c r="C38" s="1"/>
    </row>
    <row r="39" spans="1:3" x14ac:dyDescent="0.4">
      <c r="A39" s="1"/>
      <c r="B39" s="1"/>
      <c r="C39" s="1"/>
    </row>
    <row r="40" spans="1:3" x14ac:dyDescent="0.4">
      <c r="A40" s="1"/>
      <c r="B40" s="1"/>
      <c r="C40" s="1"/>
    </row>
    <row r="41" spans="1:3" x14ac:dyDescent="0.4">
      <c r="A41" s="1"/>
      <c r="B41" s="1"/>
      <c r="C41" s="1"/>
    </row>
    <row r="42" spans="1:3" x14ac:dyDescent="0.4">
      <c r="A42" s="1"/>
      <c r="B42" s="1"/>
      <c r="C42" s="1"/>
    </row>
    <row r="43" spans="1:3" x14ac:dyDescent="0.4">
      <c r="A43" s="1"/>
      <c r="B43" s="1"/>
      <c r="C43" s="1"/>
    </row>
    <row r="44" spans="1:3" x14ac:dyDescent="0.4">
      <c r="A44" s="1"/>
      <c r="B44" s="1"/>
      <c r="C44" s="1"/>
    </row>
    <row r="45" spans="1:3" x14ac:dyDescent="0.4">
      <c r="A45" s="1"/>
      <c r="B45" s="1"/>
      <c r="C45" s="1"/>
    </row>
    <row r="46" spans="1:3" x14ac:dyDescent="0.4">
      <c r="A46" s="1"/>
      <c r="B46" s="1"/>
      <c r="C46" s="1"/>
    </row>
    <row r="47" spans="1:3" x14ac:dyDescent="0.4">
      <c r="A47" s="1"/>
      <c r="B47" s="1"/>
      <c r="C47" s="1"/>
    </row>
    <row r="48" spans="1:3" x14ac:dyDescent="0.4">
      <c r="A48" s="1"/>
      <c r="B48" s="1"/>
      <c r="C48" s="1"/>
    </row>
    <row r="49" spans="1:3" x14ac:dyDescent="0.4">
      <c r="A49" s="1"/>
      <c r="B49" s="1"/>
      <c r="C49" s="1"/>
    </row>
    <row r="50" spans="1:3" x14ac:dyDescent="0.4">
      <c r="A50" s="1"/>
      <c r="B50" s="1"/>
      <c r="C50" s="1"/>
    </row>
    <row r="51" spans="1:3" x14ac:dyDescent="0.4">
      <c r="A51" s="1"/>
      <c r="B51" s="1"/>
      <c r="C51" s="1"/>
    </row>
    <row r="52" spans="1:3" x14ac:dyDescent="0.4">
      <c r="A52" s="1"/>
      <c r="B52" s="1"/>
      <c r="C52" s="1"/>
    </row>
    <row r="53" spans="1:3" x14ac:dyDescent="0.4">
      <c r="A53" s="1"/>
      <c r="B53" s="1"/>
      <c r="C53" s="1"/>
    </row>
    <row r="54" spans="1:3" x14ac:dyDescent="0.4">
      <c r="A54" s="1"/>
      <c r="B54" s="1"/>
      <c r="C54" s="1"/>
    </row>
    <row r="55" spans="1:3" x14ac:dyDescent="0.4">
      <c r="A55" s="1"/>
      <c r="B55" s="1"/>
      <c r="C55" s="1"/>
    </row>
    <row r="56" spans="1:3" x14ac:dyDescent="0.4">
      <c r="A56" s="1"/>
      <c r="B56" s="1"/>
      <c r="C56" s="1"/>
    </row>
    <row r="57" spans="1:3" x14ac:dyDescent="0.4">
      <c r="A57" s="1"/>
      <c r="B57" s="1"/>
      <c r="C57" s="1"/>
    </row>
    <row r="58" spans="1:3" x14ac:dyDescent="0.4">
      <c r="A58" s="1"/>
      <c r="B58" s="1"/>
      <c r="C58" s="1"/>
    </row>
    <row r="59" spans="1:3" x14ac:dyDescent="0.4">
      <c r="A59" s="1"/>
      <c r="B59" s="1"/>
      <c r="C59" s="1"/>
    </row>
    <row r="60" spans="1:3" x14ac:dyDescent="0.4">
      <c r="A60" s="1"/>
      <c r="B60" s="1"/>
      <c r="C60" s="1"/>
    </row>
    <row r="61" spans="1:3" x14ac:dyDescent="0.4">
      <c r="A61" s="1"/>
      <c r="B61" s="1"/>
      <c r="C61" s="1"/>
    </row>
    <row r="62" spans="1:3" x14ac:dyDescent="0.4">
      <c r="A62" s="1"/>
      <c r="B62" s="1"/>
      <c r="C62" s="1"/>
    </row>
    <row r="63" spans="1:3" x14ac:dyDescent="0.4">
      <c r="A63" s="1"/>
      <c r="B63" s="1"/>
      <c r="C63" s="1"/>
    </row>
    <row r="64" spans="1:3" x14ac:dyDescent="0.4">
      <c r="A64" s="1"/>
      <c r="B64" s="1"/>
      <c r="C64" s="1"/>
    </row>
    <row r="65" spans="1:3" x14ac:dyDescent="0.4">
      <c r="A65" s="1"/>
      <c r="B65" s="1"/>
      <c r="C65" s="1"/>
    </row>
    <row r="66" spans="1:3" x14ac:dyDescent="0.4">
      <c r="A66" s="1"/>
      <c r="B66" s="1"/>
      <c r="C66" s="1"/>
    </row>
    <row r="67" spans="1:3" x14ac:dyDescent="0.4">
      <c r="A67" s="1"/>
      <c r="B67" s="1"/>
      <c r="C67" s="1"/>
    </row>
    <row r="68" spans="1:3" x14ac:dyDescent="0.4">
      <c r="A68" s="1"/>
      <c r="B68" s="1"/>
      <c r="C68" s="1"/>
    </row>
    <row r="69" spans="1:3" x14ac:dyDescent="0.4">
      <c r="A69" s="1"/>
      <c r="B69" s="1"/>
      <c r="C69" s="1"/>
    </row>
    <row r="70" spans="1:3" x14ac:dyDescent="0.4">
      <c r="A70" s="1"/>
      <c r="B70" s="1"/>
      <c r="C70" s="1"/>
    </row>
    <row r="71" spans="1:3" x14ac:dyDescent="0.4">
      <c r="A71" s="1"/>
      <c r="B71" s="1"/>
      <c r="C71" s="1"/>
    </row>
    <row r="72" spans="1:3" x14ac:dyDescent="0.4">
      <c r="A72" s="1"/>
      <c r="B72" s="1"/>
      <c r="C72" s="1"/>
    </row>
    <row r="73" spans="1:3" x14ac:dyDescent="0.4">
      <c r="A73" s="1"/>
      <c r="B73" s="1"/>
      <c r="C73" s="1"/>
    </row>
    <row r="74" spans="1:3" x14ac:dyDescent="0.4">
      <c r="A74" s="1"/>
      <c r="B74" s="1"/>
      <c r="C74" s="1"/>
    </row>
    <row r="75" spans="1:3" x14ac:dyDescent="0.4">
      <c r="A75" s="1"/>
      <c r="B75" s="1"/>
      <c r="C75" s="1"/>
    </row>
    <row r="76" spans="1:3" x14ac:dyDescent="0.4">
      <c r="A76" s="1"/>
      <c r="B76" s="1"/>
      <c r="C76" s="1"/>
    </row>
    <row r="77" spans="1:3" x14ac:dyDescent="0.4">
      <c r="A77" s="1"/>
      <c r="B77" s="1"/>
      <c r="C77" s="1"/>
    </row>
    <row r="78" spans="1:3" x14ac:dyDescent="0.4">
      <c r="A78" s="1"/>
      <c r="B78" s="1"/>
      <c r="C78" s="1"/>
    </row>
    <row r="79" spans="1:3" x14ac:dyDescent="0.4">
      <c r="A79" s="1"/>
      <c r="B79" s="1"/>
      <c r="C79" s="1"/>
    </row>
    <row r="80" spans="1:3" x14ac:dyDescent="0.4">
      <c r="A80" s="1"/>
      <c r="B80" s="1"/>
      <c r="C80" s="1"/>
    </row>
    <row r="81" spans="1:3" x14ac:dyDescent="0.4">
      <c r="A81" s="1"/>
      <c r="B81" s="1"/>
      <c r="C81" s="1"/>
    </row>
    <row r="82" spans="1:3" x14ac:dyDescent="0.4">
      <c r="A82" s="1"/>
      <c r="B82" s="1"/>
      <c r="C82" s="1"/>
    </row>
    <row r="83" spans="1:3" x14ac:dyDescent="0.4">
      <c r="A83" s="1"/>
      <c r="B83" s="1"/>
      <c r="C83" s="1"/>
    </row>
    <row r="84" spans="1:3" x14ac:dyDescent="0.4">
      <c r="A84" s="1"/>
      <c r="B84" s="1"/>
      <c r="C84" s="1"/>
    </row>
    <row r="85" spans="1:3" x14ac:dyDescent="0.4">
      <c r="A85" s="1"/>
      <c r="B85" s="1"/>
      <c r="C85" s="1"/>
    </row>
    <row r="86" spans="1:3" x14ac:dyDescent="0.4">
      <c r="A86" s="1"/>
      <c r="B86" s="1"/>
      <c r="C86" s="1"/>
    </row>
    <row r="87" spans="1:3" x14ac:dyDescent="0.4">
      <c r="A87" s="1"/>
      <c r="B87" s="1"/>
      <c r="C87" s="1"/>
    </row>
    <row r="88" spans="1:3" x14ac:dyDescent="0.4">
      <c r="A88" s="1"/>
      <c r="B88" s="1"/>
      <c r="C88" s="1"/>
    </row>
    <row r="89" spans="1:3" x14ac:dyDescent="0.4">
      <c r="A89" s="1"/>
      <c r="B89" s="1"/>
      <c r="C89" s="1"/>
    </row>
    <row r="90" spans="1:3" x14ac:dyDescent="0.4">
      <c r="A90" s="1"/>
      <c r="B90" s="1"/>
      <c r="C90" s="1"/>
    </row>
    <row r="91" spans="1:3" x14ac:dyDescent="0.4">
      <c r="A91" s="1"/>
      <c r="B91" s="1"/>
      <c r="C91" s="1"/>
    </row>
    <row r="92" spans="1:3" x14ac:dyDescent="0.4">
      <c r="A92" s="1"/>
      <c r="B92" s="1"/>
      <c r="C92" s="1"/>
    </row>
    <row r="93" spans="1:3" x14ac:dyDescent="0.4">
      <c r="A93" s="1"/>
      <c r="B93" s="1"/>
      <c r="C93" s="1"/>
    </row>
    <row r="94" spans="1:3" x14ac:dyDescent="0.4">
      <c r="A94" s="1"/>
      <c r="B94" s="1"/>
      <c r="C94" s="1"/>
    </row>
    <row r="95" spans="1:3" x14ac:dyDescent="0.4">
      <c r="A95" s="1"/>
      <c r="B95" s="1"/>
      <c r="C95" s="1"/>
    </row>
    <row r="96" spans="1:3" x14ac:dyDescent="0.4">
      <c r="A96" s="1"/>
      <c r="B96" s="1"/>
      <c r="C96" s="1"/>
    </row>
    <row r="97" spans="1:3" x14ac:dyDescent="0.4">
      <c r="A97" s="1"/>
      <c r="B97" s="1"/>
      <c r="C97" s="1"/>
    </row>
    <row r="98" spans="1:3" x14ac:dyDescent="0.4">
      <c r="A98" s="1"/>
      <c r="B98" s="1"/>
      <c r="C98" s="1"/>
    </row>
    <row r="99" spans="1:3" x14ac:dyDescent="0.4">
      <c r="A99" s="1"/>
      <c r="B99" s="1"/>
      <c r="C99" s="1"/>
    </row>
    <row r="100" spans="1:3" x14ac:dyDescent="0.4">
      <c r="A100" s="1"/>
      <c r="B100" s="1"/>
      <c r="C100" s="1"/>
    </row>
    <row r="101" spans="1:3" x14ac:dyDescent="0.4">
      <c r="A101" s="1"/>
      <c r="B101" s="1"/>
      <c r="C101" s="1"/>
    </row>
    <row r="102" spans="1:3" x14ac:dyDescent="0.4">
      <c r="A102" s="1"/>
      <c r="B102" s="1"/>
      <c r="C102" s="1"/>
    </row>
    <row r="103" spans="1:3" x14ac:dyDescent="0.4">
      <c r="A103" s="1"/>
      <c r="B103" s="1"/>
      <c r="C103" s="1"/>
    </row>
    <row r="104" spans="1:3" x14ac:dyDescent="0.4">
      <c r="A104" s="1"/>
      <c r="B104" s="1"/>
      <c r="C104" s="1"/>
    </row>
    <row r="105" spans="1:3" x14ac:dyDescent="0.4">
      <c r="A105" s="1"/>
      <c r="B105" s="1"/>
      <c r="C105" s="1"/>
    </row>
    <row r="106" spans="1:3" x14ac:dyDescent="0.4">
      <c r="A106" s="1"/>
      <c r="B106" s="1"/>
      <c r="C106" s="1"/>
    </row>
    <row r="107" spans="1:3" x14ac:dyDescent="0.4">
      <c r="A107" s="1"/>
      <c r="B107" s="1"/>
      <c r="C107" s="1"/>
    </row>
    <row r="108" spans="1:3" x14ac:dyDescent="0.4">
      <c r="A108" s="1"/>
      <c r="B108" s="1"/>
      <c r="C108" s="1"/>
    </row>
    <row r="109" spans="1:3" x14ac:dyDescent="0.4">
      <c r="A109" s="1"/>
      <c r="B109" s="1"/>
      <c r="C109" s="1"/>
    </row>
    <row r="110" spans="1:3" x14ac:dyDescent="0.4">
      <c r="A110" s="1"/>
      <c r="B110" s="1"/>
      <c r="C110" s="1"/>
    </row>
    <row r="111" spans="1:3" x14ac:dyDescent="0.4">
      <c r="A111" s="1"/>
      <c r="B111" s="1"/>
      <c r="C111" s="1"/>
    </row>
    <row r="112" spans="1:3" x14ac:dyDescent="0.4">
      <c r="A112" s="1"/>
      <c r="B112" s="1"/>
      <c r="C112" s="1"/>
    </row>
    <row r="113" spans="1:3" x14ac:dyDescent="0.4">
      <c r="A113" s="1"/>
      <c r="B113" s="1"/>
      <c r="C113" s="1"/>
    </row>
    <row r="114" spans="1:3" x14ac:dyDescent="0.4">
      <c r="A114" s="1"/>
      <c r="B114" s="1"/>
      <c r="C114" s="1"/>
    </row>
    <row r="115" spans="1:3" x14ac:dyDescent="0.4">
      <c r="A115" s="1"/>
      <c r="B115" s="1"/>
      <c r="C115" s="1"/>
    </row>
    <row r="116" spans="1:3" x14ac:dyDescent="0.4">
      <c r="A116" s="1"/>
      <c r="B116" s="1"/>
      <c r="C116" s="1"/>
    </row>
    <row r="117" spans="1:3" x14ac:dyDescent="0.4">
      <c r="A117" s="1"/>
      <c r="B117" s="1"/>
      <c r="C117" s="1"/>
    </row>
    <row r="118" spans="1:3" x14ac:dyDescent="0.4">
      <c r="A118" s="1"/>
      <c r="B118" s="1"/>
      <c r="C118" s="1"/>
    </row>
    <row r="119" spans="1:3" x14ac:dyDescent="0.4">
      <c r="A119" s="1"/>
      <c r="B119" s="1"/>
      <c r="C119" s="1"/>
    </row>
    <row r="120" spans="1:3" x14ac:dyDescent="0.4">
      <c r="A120" s="1"/>
      <c r="B120" s="1"/>
      <c r="C120" s="1"/>
    </row>
    <row r="121" spans="1:3" x14ac:dyDescent="0.4">
      <c r="A121" s="1"/>
      <c r="B121" s="1"/>
      <c r="C121" s="1"/>
    </row>
    <row r="122" spans="1:3" x14ac:dyDescent="0.4">
      <c r="A122" s="1"/>
      <c r="B122" s="1"/>
      <c r="C122" s="1"/>
    </row>
    <row r="123" spans="1:3" x14ac:dyDescent="0.4">
      <c r="A123" s="1"/>
      <c r="B123" s="1"/>
      <c r="C123" s="1"/>
    </row>
    <row r="124" spans="1:3" x14ac:dyDescent="0.4">
      <c r="A124" s="1"/>
      <c r="B124" s="1"/>
      <c r="C124" s="1"/>
    </row>
    <row r="125" spans="1:3" x14ac:dyDescent="0.4">
      <c r="A125" s="1"/>
      <c r="B125" s="1"/>
      <c r="C125" s="1"/>
    </row>
    <row r="126" spans="1:3" x14ac:dyDescent="0.4">
      <c r="A126" s="1"/>
      <c r="B126" s="1"/>
      <c r="C126" s="1"/>
    </row>
    <row r="127" spans="1:3" x14ac:dyDescent="0.4">
      <c r="A127" s="1"/>
      <c r="B127" s="1"/>
      <c r="C127" s="1"/>
    </row>
    <row r="128" spans="1:3" x14ac:dyDescent="0.4">
      <c r="A128" s="1"/>
      <c r="B128" s="1"/>
      <c r="C128" s="1"/>
    </row>
    <row r="129" spans="1:3" x14ac:dyDescent="0.4">
      <c r="A129" s="1"/>
      <c r="B129" s="1"/>
      <c r="C129" s="1"/>
    </row>
    <row r="130" spans="1:3" x14ac:dyDescent="0.4">
      <c r="A130" s="1"/>
      <c r="B130" s="1"/>
      <c r="C130" s="1"/>
    </row>
    <row r="131" spans="1:3" x14ac:dyDescent="0.4">
      <c r="A131" s="1"/>
      <c r="B131" s="1"/>
      <c r="C131" s="1"/>
    </row>
    <row r="132" spans="1:3" x14ac:dyDescent="0.4">
      <c r="A132" s="1"/>
      <c r="B132" s="1"/>
      <c r="C132" s="1"/>
    </row>
    <row r="133" spans="1:3" x14ac:dyDescent="0.4">
      <c r="A133" s="1"/>
      <c r="B133" s="1"/>
      <c r="C133" s="1"/>
    </row>
    <row r="134" spans="1:3" x14ac:dyDescent="0.4">
      <c r="A134" s="1"/>
      <c r="B134" s="1"/>
      <c r="C134" s="1"/>
    </row>
    <row r="135" spans="1:3" x14ac:dyDescent="0.4">
      <c r="A135" s="1"/>
      <c r="B135" s="1"/>
      <c r="C135" s="1"/>
    </row>
    <row r="136" spans="1:3" x14ac:dyDescent="0.4">
      <c r="A136" s="1"/>
      <c r="B136" s="1"/>
      <c r="C136" s="1"/>
    </row>
    <row r="137" spans="1:3" x14ac:dyDescent="0.4">
      <c r="A137" s="1"/>
      <c r="B137" s="1"/>
      <c r="C137" s="1"/>
    </row>
    <row r="138" spans="1:3" x14ac:dyDescent="0.4">
      <c r="A138" s="1"/>
      <c r="B138" s="1"/>
      <c r="C138" s="1"/>
    </row>
    <row r="139" spans="1:3" x14ac:dyDescent="0.4">
      <c r="A139" s="1"/>
      <c r="B139" s="1"/>
      <c r="C139" s="1"/>
    </row>
    <row r="140" spans="1:3" x14ac:dyDescent="0.4">
      <c r="A140" s="1"/>
      <c r="B140" s="1"/>
      <c r="C140" s="1"/>
    </row>
    <row r="141" spans="1:3" x14ac:dyDescent="0.4">
      <c r="A141" s="1"/>
      <c r="B141" s="1"/>
      <c r="C141" s="1"/>
    </row>
    <row r="142" spans="1:3" x14ac:dyDescent="0.4">
      <c r="A142" s="1"/>
      <c r="B142" s="1"/>
      <c r="C142" s="1"/>
    </row>
    <row r="143" spans="1:3" x14ac:dyDescent="0.4">
      <c r="A143" s="1"/>
      <c r="B143" s="1"/>
      <c r="C143" s="1"/>
    </row>
    <row r="144" spans="1:3" x14ac:dyDescent="0.4">
      <c r="A144" s="1"/>
      <c r="B144" s="1"/>
      <c r="C144" s="1"/>
    </row>
    <row r="145" spans="1:3" x14ac:dyDescent="0.4">
      <c r="A145" s="1"/>
      <c r="B145" s="1"/>
      <c r="C145" s="1"/>
    </row>
    <row r="146" spans="1:3" x14ac:dyDescent="0.4">
      <c r="A146" s="1"/>
      <c r="B146" s="1"/>
      <c r="C146" s="1"/>
    </row>
    <row r="147" spans="1:3" x14ac:dyDescent="0.4">
      <c r="A147" s="1"/>
      <c r="B147" s="1"/>
      <c r="C147" s="1"/>
    </row>
    <row r="148" spans="1:3" x14ac:dyDescent="0.4">
      <c r="A148" s="1"/>
      <c r="B148" s="1"/>
      <c r="C148" s="1"/>
    </row>
    <row r="149" spans="1:3" x14ac:dyDescent="0.4">
      <c r="A149" s="1"/>
      <c r="B149" s="1"/>
      <c r="C149" s="1"/>
    </row>
    <row r="150" spans="1:3" x14ac:dyDescent="0.4">
      <c r="A150" s="1"/>
      <c r="B150" s="1"/>
      <c r="C150" s="1"/>
    </row>
    <row r="151" spans="1:3" x14ac:dyDescent="0.4">
      <c r="A151" s="1"/>
      <c r="B151" s="1"/>
      <c r="C151" s="1"/>
    </row>
    <row r="152" spans="1:3" x14ac:dyDescent="0.4">
      <c r="A152" s="1"/>
      <c r="B152" s="1"/>
      <c r="C152" s="1"/>
    </row>
    <row r="153" spans="1:3" x14ac:dyDescent="0.4">
      <c r="A153" s="1"/>
      <c r="B153" s="1"/>
      <c r="C153" s="1"/>
    </row>
    <row r="154" spans="1:3" x14ac:dyDescent="0.4">
      <c r="A154" s="1"/>
      <c r="B154" s="1"/>
      <c r="C154" s="1"/>
    </row>
    <row r="155" spans="1:3" x14ac:dyDescent="0.4">
      <c r="A155" s="1"/>
      <c r="B155" s="1"/>
      <c r="C155" s="1"/>
    </row>
    <row r="156" spans="1:3" x14ac:dyDescent="0.4">
      <c r="A156" s="1"/>
      <c r="B156" s="1"/>
      <c r="C156" s="1"/>
    </row>
    <row r="157" spans="1:3" x14ac:dyDescent="0.4">
      <c r="A157" s="1"/>
      <c r="B157" s="1"/>
      <c r="C157" s="1"/>
    </row>
    <row r="158" spans="1:3" x14ac:dyDescent="0.4">
      <c r="A158" s="1"/>
      <c r="B158" s="1"/>
      <c r="C158" s="1"/>
    </row>
    <row r="159" spans="1:3" x14ac:dyDescent="0.4">
      <c r="A159" s="1"/>
      <c r="B159" s="1"/>
      <c r="C159" s="1"/>
    </row>
    <row r="160" spans="1:3" x14ac:dyDescent="0.4">
      <c r="A160" s="1"/>
      <c r="B160" s="1"/>
      <c r="C160" s="1"/>
    </row>
    <row r="161" spans="1:3" x14ac:dyDescent="0.4">
      <c r="A161" s="1"/>
      <c r="B161" s="1"/>
      <c r="C161" s="1"/>
    </row>
    <row r="162" spans="1:3" x14ac:dyDescent="0.4">
      <c r="A162" s="1"/>
      <c r="B162" s="1"/>
      <c r="C162" s="1"/>
    </row>
    <row r="163" spans="1:3" x14ac:dyDescent="0.4">
      <c r="A163" s="1"/>
      <c r="B163" s="1"/>
      <c r="C163" s="1"/>
    </row>
    <row r="164" spans="1:3" x14ac:dyDescent="0.4">
      <c r="A164" s="1"/>
      <c r="B164" s="1"/>
      <c r="C164" s="1"/>
    </row>
    <row r="165" spans="1:3" x14ac:dyDescent="0.4">
      <c r="A165" s="1"/>
      <c r="B165" s="1"/>
      <c r="C165" s="1"/>
    </row>
    <row r="166" spans="1:3" x14ac:dyDescent="0.4">
      <c r="A166" s="1"/>
      <c r="B166" s="1"/>
      <c r="C166" s="1"/>
    </row>
    <row r="167" spans="1:3" x14ac:dyDescent="0.4">
      <c r="A167" s="1"/>
      <c r="B167" s="1"/>
      <c r="C167" s="1"/>
    </row>
    <row r="168" spans="1:3" x14ac:dyDescent="0.4">
      <c r="A168" s="1"/>
      <c r="B168" s="1"/>
      <c r="C168" s="1"/>
    </row>
    <row r="169" spans="1:3" x14ac:dyDescent="0.4">
      <c r="A169" s="1"/>
      <c r="B169" s="1"/>
      <c r="C169" s="1"/>
    </row>
    <row r="170" spans="1:3" x14ac:dyDescent="0.4">
      <c r="A170" s="1"/>
      <c r="B170" s="1"/>
      <c r="C170" s="1"/>
    </row>
    <row r="171" spans="1:3" x14ac:dyDescent="0.4">
      <c r="A171" s="1"/>
      <c r="B171" s="1"/>
      <c r="C171" s="1"/>
    </row>
    <row r="172" spans="1:3" x14ac:dyDescent="0.4">
      <c r="A172" s="1"/>
      <c r="B172" s="1"/>
      <c r="C172" s="1"/>
    </row>
    <row r="173" spans="1:3" x14ac:dyDescent="0.4">
      <c r="A173" s="1"/>
      <c r="B173" s="1"/>
      <c r="C173" s="1"/>
    </row>
    <row r="174" spans="1:3" x14ac:dyDescent="0.4">
      <c r="A174" s="1"/>
      <c r="B174" s="1"/>
      <c r="C174" s="1"/>
    </row>
    <row r="175" spans="1:3" x14ac:dyDescent="0.4">
      <c r="A175" s="1"/>
      <c r="B175" s="1"/>
      <c r="C175" s="1"/>
    </row>
    <row r="176" spans="1:3" x14ac:dyDescent="0.4">
      <c r="A176" s="1"/>
      <c r="B176" s="1"/>
      <c r="C176" s="1"/>
    </row>
    <row r="177" spans="1:3" x14ac:dyDescent="0.4">
      <c r="A177" s="1"/>
      <c r="B177" s="1"/>
      <c r="C177" s="1"/>
    </row>
    <row r="178" spans="1:3" x14ac:dyDescent="0.4">
      <c r="A178" s="1"/>
      <c r="B178" s="1"/>
      <c r="C178" s="1"/>
    </row>
    <row r="179" spans="1:3" x14ac:dyDescent="0.4">
      <c r="A179" s="1"/>
      <c r="B179" s="1"/>
      <c r="C179" s="1"/>
    </row>
    <row r="180" spans="1:3" x14ac:dyDescent="0.4">
      <c r="A180" s="1"/>
      <c r="B180" s="1"/>
      <c r="C180" s="1"/>
    </row>
    <row r="181" spans="1:3" x14ac:dyDescent="0.4">
      <c r="A181" s="1"/>
      <c r="B181" s="1"/>
      <c r="C181" s="1"/>
    </row>
    <row r="182" spans="1:3" x14ac:dyDescent="0.4">
      <c r="A182" s="1"/>
      <c r="B182" s="1"/>
      <c r="C182" s="1"/>
    </row>
    <row r="183" spans="1:3" x14ac:dyDescent="0.4">
      <c r="A183" s="1"/>
      <c r="B183" s="1"/>
      <c r="C183" s="1"/>
    </row>
    <row r="184" spans="1:3" x14ac:dyDescent="0.4">
      <c r="A184" s="1"/>
      <c r="B184" s="1"/>
      <c r="C184" s="1"/>
    </row>
    <row r="185" spans="1:3" x14ac:dyDescent="0.4">
      <c r="A185" s="1"/>
      <c r="B185" s="1"/>
      <c r="C185" s="1"/>
    </row>
    <row r="186" spans="1:3" x14ac:dyDescent="0.4">
      <c r="A186" s="1"/>
      <c r="B186" s="1"/>
      <c r="C186" s="1"/>
    </row>
    <row r="187" spans="1:3" x14ac:dyDescent="0.4">
      <c r="A187" s="1"/>
      <c r="B187" s="1"/>
      <c r="C187" s="1"/>
    </row>
    <row r="188" spans="1:3" x14ac:dyDescent="0.4">
      <c r="A188" s="1"/>
      <c r="B188" s="1"/>
      <c r="C188" s="1"/>
    </row>
    <row r="189" spans="1:3" x14ac:dyDescent="0.4">
      <c r="A189" s="1"/>
      <c r="B189" s="1"/>
      <c r="C189" s="1"/>
    </row>
    <row r="190" spans="1:3" x14ac:dyDescent="0.4">
      <c r="A190" s="1"/>
      <c r="B190" s="1"/>
      <c r="C190" s="1"/>
    </row>
    <row r="191" spans="1:3" x14ac:dyDescent="0.4">
      <c r="A191" s="1"/>
      <c r="B191" s="1"/>
      <c r="C191" s="1"/>
    </row>
    <row r="192" spans="1:3" x14ac:dyDescent="0.4">
      <c r="A192" s="1"/>
      <c r="B192" s="1"/>
      <c r="C192" s="1"/>
    </row>
    <row r="193" spans="1:3" x14ac:dyDescent="0.4">
      <c r="A193" s="1"/>
      <c r="B193" s="1"/>
      <c r="C193" s="1"/>
    </row>
    <row r="194" spans="1:3" x14ac:dyDescent="0.4">
      <c r="A194" s="1"/>
      <c r="B194" s="1"/>
      <c r="C194" s="1"/>
    </row>
    <row r="195" spans="1:3" x14ac:dyDescent="0.4">
      <c r="A195" s="1"/>
      <c r="B195" s="1"/>
      <c r="C195" s="1"/>
    </row>
    <row r="196" spans="1:3" x14ac:dyDescent="0.4">
      <c r="A196" s="1"/>
      <c r="B196" s="1"/>
      <c r="C196" s="1"/>
    </row>
    <row r="197" spans="1:3" x14ac:dyDescent="0.4">
      <c r="A197" s="1"/>
      <c r="B197" s="1"/>
      <c r="C197" s="1"/>
    </row>
    <row r="198" spans="1:3" x14ac:dyDescent="0.4">
      <c r="A198" s="1"/>
      <c r="B198" s="1"/>
      <c r="C198" s="1"/>
    </row>
    <row r="199" spans="1:3" x14ac:dyDescent="0.4">
      <c r="A199" s="1"/>
      <c r="B199" s="1"/>
      <c r="C199" s="1"/>
    </row>
    <row r="200" spans="1:3" x14ac:dyDescent="0.4">
      <c r="A200" s="1"/>
      <c r="B200" s="1"/>
      <c r="C200" s="1"/>
    </row>
    <row r="201" spans="1:3" x14ac:dyDescent="0.4">
      <c r="A201" s="1"/>
      <c r="B201" s="1"/>
      <c r="C201" s="1"/>
    </row>
    <row r="202" spans="1:3" x14ac:dyDescent="0.4">
      <c r="A202" s="1"/>
      <c r="B202" s="1"/>
      <c r="C202" s="1"/>
    </row>
    <row r="203" spans="1:3" x14ac:dyDescent="0.4">
      <c r="A203" s="1"/>
      <c r="B203" s="1"/>
      <c r="C203" s="1"/>
    </row>
    <row r="204" spans="1:3" x14ac:dyDescent="0.4">
      <c r="A204" s="1"/>
      <c r="B204" s="1"/>
      <c r="C204" s="1"/>
    </row>
    <row r="205" spans="1:3" x14ac:dyDescent="0.4">
      <c r="A205" s="1"/>
      <c r="B205" s="1"/>
      <c r="C205" s="1"/>
    </row>
    <row r="206" spans="1:3" x14ac:dyDescent="0.4">
      <c r="A206" s="1"/>
      <c r="B206" s="1"/>
      <c r="C206" s="1"/>
    </row>
    <row r="207" spans="1:3" x14ac:dyDescent="0.4">
      <c r="A207" s="1"/>
      <c r="B207" s="1"/>
      <c r="C207" s="1"/>
    </row>
    <row r="208" spans="1:3" x14ac:dyDescent="0.4">
      <c r="A208" s="1"/>
      <c r="B208" s="1"/>
      <c r="C208" s="1"/>
    </row>
    <row r="209" spans="1:3" x14ac:dyDescent="0.4">
      <c r="A209" s="1"/>
      <c r="B209" s="1"/>
      <c r="C209" s="1"/>
    </row>
    <row r="210" spans="1:3" x14ac:dyDescent="0.4">
      <c r="A210" s="1"/>
      <c r="B210" s="1"/>
      <c r="C210" s="1"/>
    </row>
    <row r="211" spans="1:3" x14ac:dyDescent="0.4">
      <c r="A211" s="1"/>
      <c r="B211" s="1"/>
      <c r="C211" s="1"/>
    </row>
    <row r="212" spans="1:3" x14ac:dyDescent="0.4">
      <c r="A212" s="1"/>
      <c r="B212" s="1"/>
      <c r="C212" s="1"/>
    </row>
    <row r="213" spans="1:3" x14ac:dyDescent="0.4">
      <c r="A213" s="1"/>
      <c r="B213" s="1"/>
      <c r="C213" s="1"/>
    </row>
    <row r="214" spans="1:3" x14ac:dyDescent="0.4">
      <c r="A214" s="1"/>
      <c r="B214" s="1"/>
      <c r="C214" s="1"/>
    </row>
    <row r="215" spans="1:3" x14ac:dyDescent="0.4">
      <c r="A215" s="1"/>
      <c r="B215" s="1"/>
      <c r="C215" s="1"/>
    </row>
    <row r="216" spans="1:3" x14ac:dyDescent="0.4">
      <c r="A216" s="1"/>
      <c r="B216" s="1"/>
      <c r="C216" s="1"/>
    </row>
    <row r="217" spans="1:3" x14ac:dyDescent="0.4">
      <c r="A217" s="1"/>
      <c r="B217" s="1"/>
      <c r="C217" s="1"/>
    </row>
    <row r="218" spans="1:3" x14ac:dyDescent="0.4">
      <c r="A218" s="1"/>
      <c r="B218" s="1"/>
      <c r="C218" s="1"/>
    </row>
    <row r="219" spans="1:3" x14ac:dyDescent="0.4">
      <c r="A219" s="1"/>
      <c r="B219" s="1"/>
      <c r="C219" s="1"/>
    </row>
    <row r="220" spans="1:3" x14ac:dyDescent="0.4">
      <c r="A220" s="1"/>
      <c r="B220" s="1"/>
      <c r="C220" s="1"/>
    </row>
    <row r="221" spans="1:3" x14ac:dyDescent="0.4">
      <c r="A221" s="1"/>
      <c r="B221" s="1"/>
      <c r="C221" s="1"/>
    </row>
    <row r="222" spans="1:3" x14ac:dyDescent="0.4">
      <c r="A222" s="1"/>
      <c r="B222" s="1"/>
      <c r="C222" s="1"/>
    </row>
    <row r="223" spans="1:3" x14ac:dyDescent="0.4">
      <c r="A223" s="1"/>
      <c r="B223" s="1"/>
      <c r="C223" s="1"/>
    </row>
    <row r="224" spans="1:3" x14ac:dyDescent="0.4">
      <c r="A224" s="1"/>
      <c r="B224" s="1"/>
      <c r="C224" s="1"/>
    </row>
    <row r="225" spans="1:3" x14ac:dyDescent="0.4">
      <c r="A225" s="1"/>
      <c r="B225" s="1"/>
      <c r="C225" s="1"/>
    </row>
    <row r="226" spans="1:3" x14ac:dyDescent="0.4">
      <c r="A226" s="1"/>
      <c r="B226" s="1"/>
      <c r="C226" s="1"/>
    </row>
    <row r="227" spans="1:3" x14ac:dyDescent="0.4">
      <c r="A227" s="1"/>
      <c r="B227" s="1"/>
      <c r="C227" s="1"/>
    </row>
    <row r="228" spans="1:3" x14ac:dyDescent="0.4">
      <c r="A228" s="1"/>
      <c r="B228" s="1"/>
      <c r="C228" s="1"/>
    </row>
    <row r="229" spans="1:3" x14ac:dyDescent="0.4">
      <c r="A229" s="1"/>
      <c r="B229" s="1"/>
      <c r="C229" s="1"/>
    </row>
    <row r="230" spans="1:3" x14ac:dyDescent="0.4">
      <c r="A230" s="1"/>
      <c r="B230" s="1"/>
      <c r="C230" s="1"/>
    </row>
    <row r="231" spans="1:3" x14ac:dyDescent="0.4">
      <c r="A231" s="1"/>
      <c r="B231" s="1"/>
      <c r="C231" s="1"/>
    </row>
    <row r="232" spans="1:3" x14ac:dyDescent="0.4">
      <c r="A232" s="1"/>
      <c r="B232" s="1"/>
      <c r="C232" s="1"/>
    </row>
    <row r="233" spans="1:3" x14ac:dyDescent="0.4">
      <c r="A233" s="1"/>
      <c r="B233" s="1"/>
      <c r="C233" s="1"/>
    </row>
    <row r="234" spans="1:3" x14ac:dyDescent="0.4">
      <c r="A234" s="1"/>
      <c r="B234" s="1"/>
      <c r="C234" s="1"/>
    </row>
    <row r="235" spans="1:3" x14ac:dyDescent="0.4">
      <c r="A235" s="1"/>
      <c r="B235" s="1"/>
      <c r="C235" s="1"/>
    </row>
    <row r="236" spans="1:3" x14ac:dyDescent="0.4">
      <c r="A236" s="1"/>
      <c r="B236" s="1"/>
      <c r="C236" s="1"/>
    </row>
    <row r="237" spans="1:3" x14ac:dyDescent="0.4">
      <c r="A237" s="1"/>
      <c r="B237" s="1"/>
      <c r="C237" s="1"/>
    </row>
    <row r="238" spans="1:3" x14ac:dyDescent="0.4">
      <c r="A238" s="1"/>
      <c r="B238" s="1"/>
      <c r="C238" s="1"/>
    </row>
    <row r="239" spans="1:3" x14ac:dyDescent="0.4">
      <c r="A239" s="1"/>
      <c r="B239" s="1"/>
      <c r="C239" s="1"/>
    </row>
    <row r="240" spans="1:3" x14ac:dyDescent="0.4">
      <c r="A240" s="1"/>
      <c r="B240" s="1"/>
      <c r="C240" s="1"/>
    </row>
    <row r="241" spans="1:3" x14ac:dyDescent="0.4">
      <c r="A241" s="1"/>
      <c r="B241" s="1"/>
      <c r="C241" s="1"/>
    </row>
    <row r="242" spans="1:3" x14ac:dyDescent="0.4">
      <c r="A242" s="1"/>
      <c r="B242" s="1"/>
      <c r="C242" s="1"/>
    </row>
    <row r="243" spans="1:3" x14ac:dyDescent="0.4">
      <c r="A243" s="1"/>
      <c r="B243" s="1"/>
      <c r="C243" s="1"/>
    </row>
    <row r="244" spans="1:3" x14ac:dyDescent="0.4">
      <c r="A244" s="1"/>
      <c r="B244" s="1"/>
      <c r="C244" s="1"/>
    </row>
    <row r="245" spans="1:3" x14ac:dyDescent="0.4">
      <c r="A245" s="1"/>
      <c r="B245" s="1"/>
      <c r="C245" s="1"/>
    </row>
    <row r="246" spans="1:3" x14ac:dyDescent="0.4">
      <c r="A246" s="1"/>
      <c r="B246" s="1"/>
      <c r="C246" s="1"/>
    </row>
    <row r="247" spans="1:3" x14ac:dyDescent="0.4">
      <c r="A247" s="1"/>
      <c r="B247" s="1"/>
      <c r="C247" s="1"/>
    </row>
    <row r="248" spans="1:3" x14ac:dyDescent="0.4">
      <c r="A248" s="1"/>
      <c r="B248" s="1"/>
      <c r="C248" s="1"/>
    </row>
    <row r="249" spans="1:3" x14ac:dyDescent="0.4">
      <c r="A249" s="1"/>
      <c r="B249" s="1"/>
      <c r="C249" s="1"/>
    </row>
    <row r="250" spans="1:3" x14ac:dyDescent="0.4">
      <c r="A250" s="1"/>
      <c r="B250" s="1"/>
      <c r="C250" s="1"/>
    </row>
    <row r="251" spans="1:3" x14ac:dyDescent="0.4">
      <c r="A251" s="1"/>
      <c r="B251" s="1"/>
      <c r="C251" s="1"/>
    </row>
    <row r="252" spans="1:3" x14ac:dyDescent="0.4">
      <c r="A252" s="1"/>
      <c r="B252" s="1"/>
      <c r="C252" s="1"/>
    </row>
    <row r="253" spans="1:3" x14ac:dyDescent="0.4">
      <c r="A253" s="1"/>
      <c r="B253" s="1"/>
      <c r="C253" s="1"/>
    </row>
    <row r="254" spans="1:3" x14ac:dyDescent="0.4">
      <c r="A254" s="1"/>
      <c r="B254" s="1"/>
      <c r="C254" s="1"/>
    </row>
    <row r="255" spans="1:3" x14ac:dyDescent="0.4">
      <c r="A255" s="1"/>
      <c r="B255" s="1"/>
      <c r="C255" s="1"/>
    </row>
    <row r="256" spans="1:3" x14ac:dyDescent="0.4">
      <c r="A256" s="1"/>
      <c r="B256" s="1"/>
      <c r="C256" s="1"/>
    </row>
    <row r="257" spans="1:3" x14ac:dyDescent="0.4">
      <c r="A257" s="1"/>
      <c r="B257" s="1"/>
      <c r="C257" s="1"/>
    </row>
    <row r="258" spans="1:3" x14ac:dyDescent="0.4">
      <c r="A258" s="1"/>
      <c r="B258" s="1"/>
      <c r="C258" s="1"/>
    </row>
    <row r="259" spans="1:3" x14ac:dyDescent="0.4">
      <c r="A259" s="1"/>
      <c r="B259" s="1"/>
      <c r="C259" s="1"/>
    </row>
    <row r="260" spans="1:3" x14ac:dyDescent="0.4">
      <c r="A260" s="1"/>
      <c r="B260" s="1"/>
      <c r="C260" s="1"/>
    </row>
    <row r="261" spans="1:3" x14ac:dyDescent="0.4">
      <c r="A261" s="1"/>
      <c r="B261" s="1"/>
      <c r="C261" s="1"/>
    </row>
    <row r="262" spans="1:3" x14ac:dyDescent="0.4">
      <c r="A262" s="1"/>
      <c r="B262" s="1"/>
      <c r="C262" s="1"/>
    </row>
    <row r="263" spans="1:3" x14ac:dyDescent="0.4">
      <c r="A263" s="1"/>
      <c r="B263" s="1"/>
      <c r="C263" s="1"/>
    </row>
    <row r="264" spans="1:3" x14ac:dyDescent="0.4">
      <c r="A264" s="1"/>
      <c r="B264" s="1"/>
      <c r="C264" s="1"/>
    </row>
    <row r="265" spans="1:3" x14ac:dyDescent="0.4">
      <c r="A265" s="1"/>
      <c r="B265" s="1"/>
      <c r="C265" s="1"/>
    </row>
    <row r="266" spans="1:3" x14ac:dyDescent="0.4">
      <c r="A266" s="1"/>
      <c r="B266" s="1"/>
      <c r="C266" s="1"/>
    </row>
    <row r="267" spans="1:3" x14ac:dyDescent="0.4">
      <c r="A267" s="1"/>
      <c r="B267" s="1"/>
      <c r="C267" s="1"/>
    </row>
    <row r="268" spans="1:3" x14ac:dyDescent="0.4">
      <c r="A268" s="1"/>
      <c r="B268" s="1"/>
      <c r="C268" s="1"/>
    </row>
    <row r="269" spans="1:3" x14ac:dyDescent="0.4">
      <c r="A269" s="1"/>
      <c r="B269" s="1"/>
      <c r="C269" s="1"/>
    </row>
    <row r="270" spans="1:3" x14ac:dyDescent="0.4">
      <c r="A270" s="1"/>
      <c r="B270" s="1"/>
      <c r="C270" s="1"/>
    </row>
    <row r="271" spans="1:3" x14ac:dyDescent="0.4">
      <c r="A271" s="1"/>
      <c r="B271" s="1"/>
      <c r="C271" s="1"/>
    </row>
    <row r="272" spans="1:3" x14ac:dyDescent="0.4">
      <c r="A272" s="1"/>
      <c r="B272" s="1"/>
      <c r="C272" s="1"/>
    </row>
    <row r="273" spans="1:3" x14ac:dyDescent="0.4">
      <c r="A273" s="1"/>
      <c r="B273" s="1"/>
      <c r="C273" s="1"/>
    </row>
    <row r="274" spans="1:3" x14ac:dyDescent="0.4">
      <c r="A274" s="1"/>
      <c r="B274" s="1"/>
      <c r="C274" s="1"/>
    </row>
    <row r="275" spans="1:3" x14ac:dyDescent="0.4">
      <c r="A275" s="1"/>
      <c r="B275" s="1"/>
      <c r="C275" s="1"/>
    </row>
    <row r="276" spans="1:3" x14ac:dyDescent="0.4">
      <c r="A276" s="1"/>
      <c r="B276" s="1"/>
      <c r="C276" s="1"/>
    </row>
    <row r="277" spans="1:3" x14ac:dyDescent="0.4">
      <c r="A277" s="1"/>
      <c r="B277" s="1"/>
      <c r="C277" s="1"/>
    </row>
    <row r="278" spans="1:3" x14ac:dyDescent="0.4">
      <c r="A278" s="1"/>
      <c r="B278" s="1"/>
      <c r="C278" s="1"/>
    </row>
    <row r="279" spans="1:3" x14ac:dyDescent="0.4">
      <c r="A279" s="1"/>
      <c r="B279" s="1"/>
      <c r="C279" s="1"/>
    </row>
    <row r="280" spans="1:3" x14ac:dyDescent="0.4">
      <c r="A280" s="1"/>
      <c r="B280" s="1"/>
      <c r="C280" s="1"/>
    </row>
    <row r="281" spans="1:3" x14ac:dyDescent="0.4">
      <c r="A281" s="1"/>
      <c r="B281" s="1"/>
      <c r="C281" s="1"/>
    </row>
    <row r="282" spans="1:3" x14ac:dyDescent="0.4">
      <c r="A282" s="1"/>
      <c r="B282" s="1"/>
      <c r="C282" s="1"/>
    </row>
    <row r="283" spans="1:3" x14ac:dyDescent="0.4">
      <c r="A283" s="1"/>
      <c r="B283" s="1"/>
      <c r="C283" s="1"/>
    </row>
    <row r="284" spans="1:3" x14ac:dyDescent="0.4">
      <c r="A284" s="1"/>
      <c r="B284" s="1"/>
      <c r="C284" s="1"/>
    </row>
    <row r="285" spans="1:3" x14ac:dyDescent="0.4">
      <c r="A285" s="1"/>
      <c r="B285" s="1"/>
      <c r="C285" s="1"/>
    </row>
    <row r="286" spans="1:3" x14ac:dyDescent="0.4">
      <c r="A286" s="1"/>
      <c r="B286" s="1"/>
      <c r="C286" s="1"/>
    </row>
    <row r="287" spans="1:3" x14ac:dyDescent="0.4">
      <c r="A287" s="1"/>
      <c r="B287" s="1"/>
      <c r="C287" s="1"/>
    </row>
    <row r="288" spans="1:3" x14ac:dyDescent="0.4">
      <c r="A288" s="1"/>
      <c r="B288" s="1"/>
      <c r="C288" s="1"/>
    </row>
    <row r="289" spans="1:3" x14ac:dyDescent="0.4">
      <c r="A289" s="1"/>
      <c r="B289" s="1"/>
      <c r="C289" s="1"/>
    </row>
    <row r="290" spans="1:3" x14ac:dyDescent="0.4">
      <c r="A290" s="1"/>
      <c r="B290" s="1"/>
      <c r="C290" s="1"/>
    </row>
    <row r="291" spans="1:3" x14ac:dyDescent="0.4">
      <c r="A291" s="1"/>
      <c r="B291" s="1"/>
      <c r="C291" s="1"/>
    </row>
    <row r="292" spans="1:3" x14ac:dyDescent="0.4">
      <c r="A292" s="1"/>
      <c r="B292" s="1"/>
      <c r="C292" s="1"/>
    </row>
    <row r="293" spans="1:3" x14ac:dyDescent="0.4">
      <c r="A293" s="1"/>
      <c r="B293" s="1"/>
      <c r="C293" s="1"/>
    </row>
    <row r="294" spans="1:3" x14ac:dyDescent="0.4">
      <c r="A294" s="1"/>
      <c r="B294" s="1"/>
      <c r="C294" s="1"/>
    </row>
    <row r="295" spans="1:3" x14ac:dyDescent="0.4">
      <c r="A295" s="1"/>
      <c r="B295" s="1"/>
      <c r="C295" s="1"/>
    </row>
    <row r="296" spans="1:3" x14ac:dyDescent="0.4">
      <c r="A296" s="1"/>
      <c r="B296" s="1"/>
      <c r="C296" s="1"/>
    </row>
    <row r="297" spans="1:3" x14ac:dyDescent="0.4">
      <c r="A297" s="1"/>
      <c r="B297" s="1"/>
      <c r="C297" s="1"/>
    </row>
    <row r="298" spans="1:3" x14ac:dyDescent="0.4">
      <c r="A298" s="1"/>
      <c r="B298" s="1"/>
      <c r="C298" s="1"/>
    </row>
    <row r="299" spans="1:3" x14ac:dyDescent="0.4">
      <c r="A299" s="1"/>
      <c r="B299" s="1"/>
      <c r="C299" s="1"/>
    </row>
    <row r="300" spans="1:3" x14ac:dyDescent="0.4">
      <c r="A300" s="1"/>
      <c r="B300" s="1"/>
      <c r="C300" s="1"/>
    </row>
    <row r="301" spans="1:3" x14ac:dyDescent="0.4">
      <c r="A301" s="1"/>
      <c r="B301" s="1"/>
      <c r="C301" s="1"/>
    </row>
    <row r="302" spans="1:3" x14ac:dyDescent="0.4">
      <c r="A302" s="1"/>
      <c r="B302" s="1"/>
      <c r="C302" s="1"/>
    </row>
    <row r="303" spans="1:3" x14ac:dyDescent="0.4">
      <c r="A303" s="1"/>
      <c r="B303" s="1"/>
      <c r="C303" s="1"/>
    </row>
    <row r="304" spans="1:3" x14ac:dyDescent="0.4">
      <c r="A304" s="1"/>
      <c r="B304" s="1"/>
      <c r="C304" s="1"/>
    </row>
    <row r="305" spans="1:3" x14ac:dyDescent="0.4">
      <c r="A305" s="1"/>
      <c r="B305" s="1"/>
      <c r="C305" s="1"/>
    </row>
    <row r="306" spans="1:3" x14ac:dyDescent="0.4">
      <c r="A306" s="1"/>
      <c r="B306" s="1"/>
      <c r="C306" s="1"/>
    </row>
    <row r="307" spans="1:3" x14ac:dyDescent="0.4">
      <c r="A307" s="1"/>
      <c r="B307" s="1"/>
      <c r="C307" s="1"/>
    </row>
    <row r="308" spans="1:3" x14ac:dyDescent="0.4">
      <c r="A308" s="1"/>
      <c r="B308" s="1"/>
      <c r="C308" s="1"/>
    </row>
    <row r="309" spans="1:3" x14ac:dyDescent="0.4">
      <c r="A309" s="1"/>
      <c r="B309" s="1"/>
      <c r="C309" s="1"/>
    </row>
    <row r="310" spans="1:3" x14ac:dyDescent="0.4">
      <c r="A310" s="1"/>
      <c r="B310" s="1"/>
      <c r="C310" s="1"/>
    </row>
    <row r="311" spans="1:3" x14ac:dyDescent="0.4">
      <c r="A311" s="1"/>
      <c r="B311" s="1"/>
      <c r="C311" s="1"/>
    </row>
    <row r="312" spans="1:3" x14ac:dyDescent="0.4">
      <c r="A312" s="1"/>
      <c r="B312" s="1"/>
      <c r="C312" s="1"/>
    </row>
    <row r="313" spans="1:3" x14ac:dyDescent="0.4">
      <c r="A313" s="1"/>
      <c r="B313" s="1"/>
      <c r="C313" s="1"/>
    </row>
    <row r="314" spans="1:3" x14ac:dyDescent="0.4">
      <c r="A314" s="1"/>
      <c r="B314" s="1"/>
      <c r="C314" s="1"/>
    </row>
    <row r="315" spans="1:3" x14ac:dyDescent="0.4">
      <c r="A315" s="1"/>
      <c r="B315" s="1"/>
      <c r="C315" s="1"/>
    </row>
    <row r="316" spans="1:3" x14ac:dyDescent="0.4">
      <c r="A316" s="1"/>
      <c r="B316" s="1"/>
      <c r="C316" s="1"/>
    </row>
    <row r="317" spans="1:3" x14ac:dyDescent="0.4">
      <c r="A317" s="1"/>
      <c r="B317" s="1"/>
      <c r="C317" s="1"/>
    </row>
    <row r="318" spans="1:3" x14ac:dyDescent="0.4">
      <c r="A318" s="1"/>
      <c r="B318" s="1"/>
      <c r="C318" s="1"/>
    </row>
    <row r="319" spans="1:3" x14ac:dyDescent="0.4">
      <c r="A319" s="1"/>
      <c r="B319" s="1"/>
      <c r="C319" s="1"/>
    </row>
    <row r="320" spans="1:3" x14ac:dyDescent="0.4">
      <c r="A320" s="1"/>
      <c r="B320" s="1"/>
      <c r="C320" s="1"/>
    </row>
    <row r="321" spans="1:3" x14ac:dyDescent="0.4">
      <c r="A321" s="1"/>
      <c r="B321" s="1"/>
      <c r="C321" s="1"/>
    </row>
    <row r="322" spans="1:3" x14ac:dyDescent="0.4">
      <c r="A322" s="1"/>
      <c r="B322" s="1"/>
      <c r="C322" s="1"/>
    </row>
    <row r="323" spans="1:3" x14ac:dyDescent="0.4">
      <c r="A323" s="1"/>
      <c r="B323" s="1"/>
      <c r="C323" s="1"/>
    </row>
    <row r="324" spans="1:3" x14ac:dyDescent="0.4">
      <c r="A324" s="1"/>
      <c r="B324" s="1"/>
      <c r="C324" s="1"/>
    </row>
    <row r="325" spans="1:3" x14ac:dyDescent="0.4">
      <c r="A325" s="1"/>
      <c r="B325" s="1"/>
      <c r="C325" s="1"/>
    </row>
    <row r="326" spans="1:3" x14ac:dyDescent="0.4">
      <c r="A326" s="1"/>
      <c r="B326" s="1"/>
      <c r="C326" s="1"/>
    </row>
    <row r="327" spans="1:3" x14ac:dyDescent="0.4">
      <c r="A327" s="1"/>
      <c r="B327" s="1"/>
      <c r="C327" s="1"/>
    </row>
    <row r="328" spans="1:3" x14ac:dyDescent="0.4">
      <c r="A328" s="1"/>
      <c r="B328" s="1"/>
      <c r="C328" s="1"/>
    </row>
    <row r="329" spans="1:3" x14ac:dyDescent="0.4">
      <c r="A329" s="1"/>
      <c r="B329" s="1"/>
      <c r="C329" s="1"/>
    </row>
    <row r="330" spans="1:3" x14ac:dyDescent="0.4">
      <c r="A330" s="1"/>
      <c r="B330" s="1"/>
      <c r="C330" s="1"/>
    </row>
    <row r="331" spans="1:3" x14ac:dyDescent="0.4">
      <c r="A331" s="1"/>
      <c r="B331" s="1"/>
      <c r="C331" s="1"/>
    </row>
    <row r="332" spans="1:3" x14ac:dyDescent="0.4">
      <c r="A332" s="1"/>
      <c r="B332" s="1"/>
      <c r="C332" s="1"/>
    </row>
    <row r="333" spans="1:3" x14ac:dyDescent="0.4">
      <c r="A333" s="1"/>
      <c r="B333" s="1"/>
      <c r="C333" s="1"/>
    </row>
    <row r="334" spans="1:3" x14ac:dyDescent="0.4">
      <c r="A334" s="1"/>
      <c r="B334" s="1"/>
      <c r="C334" s="1"/>
    </row>
    <row r="335" spans="1:3" x14ac:dyDescent="0.4">
      <c r="A335" s="1"/>
      <c r="B335" s="1"/>
      <c r="C335" s="1"/>
    </row>
    <row r="336" spans="1:3" x14ac:dyDescent="0.4">
      <c r="A336" s="1"/>
      <c r="B336" s="1"/>
      <c r="C336" s="1"/>
    </row>
    <row r="337" spans="1:3" x14ac:dyDescent="0.4">
      <c r="A337" s="1"/>
      <c r="B337" s="1"/>
      <c r="C337" s="1"/>
    </row>
    <row r="338" spans="1:3" x14ac:dyDescent="0.4">
      <c r="A338" s="1"/>
      <c r="B338" s="1"/>
      <c r="C338" s="1"/>
    </row>
    <row r="339" spans="1:3" x14ac:dyDescent="0.4">
      <c r="A339" s="1"/>
      <c r="B339" s="1"/>
      <c r="C339" s="1"/>
    </row>
    <row r="340" spans="1:3" x14ac:dyDescent="0.4">
      <c r="A340" s="1"/>
      <c r="B340" s="1"/>
      <c r="C340" s="1"/>
    </row>
    <row r="341" spans="1:3" x14ac:dyDescent="0.4">
      <c r="A341" s="1"/>
      <c r="B341" s="1"/>
      <c r="C341" s="1"/>
    </row>
    <row r="342" spans="1:3" x14ac:dyDescent="0.4">
      <c r="A342" s="1"/>
      <c r="B342" s="1"/>
      <c r="C342" s="1"/>
    </row>
    <row r="343" spans="1:3" x14ac:dyDescent="0.4">
      <c r="A343" s="1"/>
      <c r="B343" s="1"/>
      <c r="C343" s="1"/>
    </row>
    <row r="344" spans="1:3" x14ac:dyDescent="0.4">
      <c r="A344" s="1"/>
      <c r="B344" s="1"/>
      <c r="C344" s="1"/>
    </row>
    <row r="345" spans="1:3" x14ac:dyDescent="0.4">
      <c r="A345" s="1"/>
      <c r="B345" s="1"/>
      <c r="C345" s="1"/>
    </row>
    <row r="346" spans="1:3" x14ac:dyDescent="0.4">
      <c r="A346" s="1"/>
      <c r="B346" s="1"/>
      <c r="C346" s="1"/>
    </row>
    <row r="347" spans="1:3" x14ac:dyDescent="0.4">
      <c r="A347" s="1"/>
      <c r="B347" s="1"/>
      <c r="C347" s="1"/>
    </row>
    <row r="348" spans="1:3" x14ac:dyDescent="0.4">
      <c r="A348" s="1"/>
      <c r="B348" s="1"/>
      <c r="C348" s="1"/>
    </row>
    <row r="349" spans="1:3" x14ac:dyDescent="0.4">
      <c r="A349" s="1"/>
      <c r="B349" s="1"/>
      <c r="C349" s="1"/>
    </row>
    <row r="350" spans="1:3" x14ac:dyDescent="0.4">
      <c r="A350" s="1"/>
      <c r="B350" s="1"/>
      <c r="C350" s="1"/>
    </row>
    <row r="351" spans="1:3" x14ac:dyDescent="0.4">
      <c r="A351" s="1"/>
      <c r="B351" s="1"/>
      <c r="C351" s="1"/>
    </row>
    <row r="352" spans="1:3" x14ac:dyDescent="0.4">
      <c r="A352" s="1"/>
      <c r="B352" s="1"/>
      <c r="C352" s="1"/>
    </row>
    <row r="353" spans="1:3" x14ac:dyDescent="0.4">
      <c r="A353" s="1"/>
      <c r="B353" s="1"/>
      <c r="C353" s="1"/>
    </row>
    <row r="354" spans="1:3" x14ac:dyDescent="0.4">
      <c r="A354" s="1"/>
      <c r="B354" s="1"/>
      <c r="C354" s="1"/>
    </row>
    <row r="355" spans="1:3" x14ac:dyDescent="0.4">
      <c r="A355" s="1"/>
      <c r="B355" s="1"/>
      <c r="C355" s="1"/>
    </row>
    <row r="356" spans="1:3" x14ac:dyDescent="0.4">
      <c r="A356" s="1"/>
      <c r="B356" s="1"/>
      <c r="C356" s="1"/>
    </row>
    <row r="357" spans="1:3" x14ac:dyDescent="0.4">
      <c r="A357" s="1"/>
      <c r="B357" s="1"/>
      <c r="C357" s="1"/>
    </row>
    <row r="358" spans="1:3" x14ac:dyDescent="0.4">
      <c r="A358" s="1"/>
      <c r="B358" s="1"/>
      <c r="C358" s="1"/>
    </row>
    <row r="359" spans="1:3" x14ac:dyDescent="0.4">
      <c r="A359" s="1"/>
      <c r="B359" s="1"/>
      <c r="C359" s="1"/>
    </row>
    <row r="360" spans="1:3" x14ac:dyDescent="0.4">
      <c r="A360" s="1"/>
      <c r="B360" s="1"/>
      <c r="C360" s="1"/>
    </row>
    <row r="361" spans="1:3" x14ac:dyDescent="0.4">
      <c r="A361" s="1"/>
      <c r="B361" s="1"/>
      <c r="C361" s="1"/>
    </row>
    <row r="362" spans="1:3" x14ac:dyDescent="0.4">
      <c r="A362" s="1"/>
      <c r="B362" s="1"/>
      <c r="C362" s="1"/>
    </row>
    <row r="363" spans="1:3" x14ac:dyDescent="0.4">
      <c r="A363" s="1"/>
      <c r="B363" s="1"/>
      <c r="C363" s="1"/>
    </row>
    <row r="364" spans="1:3" x14ac:dyDescent="0.4">
      <c r="A364" s="1"/>
      <c r="B364" s="1"/>
      <c r="C364" s="1"/>
    </row>
    <row r="365" spans="1:3" x14ac:dyDescent="0.4">
      <c r="A365" s="1"/>
      <c r="B365" s="1"/>
      <c r="C365" s="1"/>
    </row>
    <row r="366" spans="1:3" x14ac:dyDescent="0.4">
      <c r="A366" s="1"/>
      <c r="B366" s="1"/>
      <c r="C366" s="1"/>
    </row>
    <row r="367" spans="1:3" x14ac:dyDescent="0.4">
      <c r="A367" s="1"/>
      <c r="B367" s="1"/>
      <c r="C367" s="1"/>
    </row>
    <row r="368" spans="1:3" x14ac:dyDescent="0.4">
      <c r="A368" s="1"/>
      <c r="B368" s="1"/>
      <c r="C368" s="1"/>
    </row>
    <row r="369" spans="1:3" x14ac:dyDescent="0.4">
      <c r="A369" s="1"/>
      <c r="B369" s="1"/>
      <c r="C369" s="1"/>
    </row>
    <row r="370" spans="1:3" x14ac:dyDescent="0.4">
      <c r="A370" s="1"/>
      <c r="B370" s="1"/>
      <c r="C370" s="1"/>
    </row>
    <row r="371" spans="1:3" x14ac:dyDescent="0.4">
      <c r="A371" s="1"/>
      <c r="B371" s="1"/>
      <c r="C371" s="1"/>
    </row>
    <row r="372" spans="1:3" x14ac:dyDescent="0.4">
      <c r="A372" s="1"/>
      <c r="B372" s="1"/>
      <c r="C372" s="1"/>
    </row>
    <row r="373" spans="1:3" x14ac:dyDescent="0.4">
      <c r="A373" s="1"/>
      <c r="B373" s="1"/>
      <c r="C373" s="1"/>
    </row>
    <row r="374" spans="1:3" x14ac:dyDescent="0.4">
      <c r="A374" s="1"/>
      <c r="B374" s="1"/>
      <c r="C374" s="1"/>
    </row>
    <row r="375" spans="1:3" x14ac:dyDescent="0.4">
      <c r="A375" s="1"/>
      <c r="B375" s="1"/>
      <c r="C375" s="1"/>
    </row>
    <row r="376" spans="1:3" x14ac:dyDescent="0.4">
      <c r="A376" s="1"/>
      <c r="B376" s="1"/>
      <c r="C376" s="1"/>
    </row>
    <row r="377" spans="1:3" x14ac:dyDescent="0.4">
      <c r="A377" s="1"/>
      <c r="B377" s="1"/>
      <c r="C377" s="1"/>
    </row>
    <row r="378" spans="1:3" x14ac:dyDescent="0.4">
      <c r="A378" s="1"/>
      <c r="B378" s="1"/>
      <c r="C378" s="1"/>
    </row>
    <row r="379" spans="1:3" x14ac:dyDescent="0.4">
      <c r="A379" s="1"/>
      <c r="B379" s="1"/>
      <c r="C379" s="1"/>
    </row>
    <row r="380" spans="1:3" x14ac:dyDescent="0.4">
      <c r="A380" s="1"/>
      <c r="B380" s="1"/>
      <c r="C380" s="1"/>
    </row>
    <row r="381" spans="1:3" x14ac:dyDescent="0.4">
      <c r="A381" s="1"/>
      <c r="B381" s="1"/>
      <c r="C381" s="1"/>
    </row>
    <row r="382" spans="1:3" x14ac:dyDescent="0.4">
      <c r="A382" s="1"/>
      <c r="B382" s="1"/>
      <c r="C382" s="1"/>
    </row>
    <row r="383" spans="1:3" x14ac:dyDescent="0.4">
      <c r="A383" s="1"/>
      <c r="B383" s="1"/>
      <c r="C383" s="1"/>
    </row>
    <row r="384" spans="1:3" x14ac:dyDescent="0.4">
      <c r="A384" s="1"/>
      <c r="B384" s="1"/>
      <c r="C384" s="1"/>
    </row>
    <row r="385" spans="1:3" x14ac:dyDescent="0.4">
      <c r="A385" s="1"/>
      <c r="B385" s="1"/>
      <c r="C385" s="1"/>
    </row>
    <row r="386" spans="1:3" x14ac:dyDescent="0.4">
      <c r="A386" s="1"/>
      <c r="B386" s="1"/>
      <c r="C386" s="1"/>
    </row>
    <row r="387" spans="1:3" x14ac:dyDescent="0.4">
      <c r="A387" s="1"/>
      <c r="B387" s="1"/>
      <c r="C387" s="1"/>
    </row>
    <row r="388" spans="1:3" x14ac:dyDescent="0.4">
      <c r="A388" s="1"/>
      <c r="B388" s="1"/>
      <c r="C388" s="1"/>
    </row>
    <row r="389" spans="1:3" x14ac:dyDescent="0.4">
      <c r="A389" s="1"/>
      <c r="B389" s="1"/>
      <c r="C389" s="1"/>
    </row>
    <row r="390" spans="1:3" x14ac:dyDescent="0.4">
      <c r="A390" s="1"/>
      <c r="B390" s="1"/>
      <c r="C390" s="1"/>
    </row>
    <row r="391" spans="1:3" x14ac:dyDescent="0.4">
      <c r="A391" s="1"/>
      <c r="B391" s="1"/>
      <c r="C391" s="1"/>
    </row>
    <row r="392" spans="1:3" x14ac:dyDescent="0.4">
      <c r="A392" s="1"/>
      <c r="B392" s="1"/>
      <c r="C392" s="1"/>
    </row>
    <row r="393" spans="1:3" x14ac:dyDescent="0.4">
      <c r="A393" s="1"/>
      <c r="B393" s="1"/>
      <c r="C393" s="1"/>
    </row>
    <row r="394" spans="1:3" x14ac:dyDescent="0.4">
      <c r="A394" s="1"/>
      <c r="B394" s="1"/>
      <c r="C394" s="1"/>
    </row>
    <row r="395" spans="1:3" x14ac:dyDescent="0.4">
      <c r="A395" s="1"/>
      <c r="B395" s="1"/>
      <c r="C395" s="1"/>
    </row>
    <row r="396" spans="1:3" x14ac:dyDescent="0.4">
      <c r="A396" s="1"/>
      <c r="B396" s="1"/>
      <c r="C396" s="1"/>
    </row>
    <row r="397" spans="1:3" x14ac:dyDescent="0.4">
      <c r="A397" s="1"/>
      <c r="B397" s="1"/>
      <c r="C397" s="1"/>
    </row>
    <row r="398" spans="1:3" x14ac:dyDescent="0.4">
      <c r="A398" s="1"/>
      <c r="B398" s="1"/>
      <c r="C398" s="1"/>
    </row>
    <row r="399" spans="1:3" x14ac:dyDescent="0.4">
      <c r="A399" s="1"/>
      <c r="B399" s="1"/>
      <c r="C399" s="1"/>
    </row>
    <row r="400" spans="1:3" x14ac:dyDescent="0.4">
      <c r="A400" s="1"/>
      <c r="B400" s="1"/>
      <c r="C400" s="1"/>
    </row>
    <row r="401" spans="1:3" x14ac:dyDescent="0.4">
      <c r="A401" s="1"/>
      <c r="B401" s="1"/>
      <c r="C401" s="1"/>
    </row>
    <row r="402" spans="1:3" x14ac:dyDescent="0.4">
      <c r="A402" s="1"/>
      <c r="B402" s="1"/>
      <c r="C402" s="1"/>
    </row>
    <row r="403" spans="1:3" x14ac:dyDescent="0.4">
      <c r="A403" s="1"/>
      <c r="B403" s="1"/>
      <c r="C403" s="1"/>
    </row>
    <row r="404" spans="1:3" x14ac:dyDescent="0.4">
      <c r="A404" s="1"/>
      <c r="B404" s="1"/>
      <c r="C404" s="1"/>
    </row>
    <row r="405" spans="1:3" x14ac:dyDescent="0.4">
      <c r="A405" s="1"/>
      <c r="B405" s="1"/>
      <c r="C405" s="1"/>
    </row>
    <row r="406" spans="1:3" x14ac:dyDescent="0.4">
      <c r="A406" s="1"/>
      <c r="B406" s="1"/>
      <c r="C406" s="1"/>
    </row>
    <row r="407" spans="1:3" x14ac:dyDescent="0.4">
      <c r="A407" s="1"/>
      <c r="B407" s="1"/>
      <c r="C407" s="1"/>
    </row>
    <row r="408" spans="1:3" x14ac:dyDescent="0.4">
      <c r="A408" s="1"/>
      <c r="B408" s="1"/>
      <c r="C408" s="1"/>
    </row>
    <row r="409" spans="1:3" x14ac:dyDescent="0.4">
      <c r="A409" s="1"/>
      <c r="B409" s="1"/>
      <c r="C409" s="1"/>
    </row>
    <row r="410" spans="1:3" x14ac:dyDescent="0.4">
      <c r="A410" s="1"/>
      <c r="B410" s="1"/>
      <c r="C410" s="1"/>
    </row>
    <row r="411" spans="1:3" x14ac:dyDescent="0.4">
      <c r="A411" s="1"/>
      <c r="B411" s="1"/>
      <c r="C411" s="1"/>
    </row>
    <row r="412" spans="1:3" x14ac:dyDescent="0.4">
      <c r="A412" s="1"/>
      <c r="B412" s="1"/>
      <c r="C412" s="1"/>
    </row>
    <row r="413" spans="1:3" x14ac:dyDescent="0.4">
      <c r="A413" s="1"/>
      <c r="B413" s="1"/>
      <c r="C413" s="1"/>
    </row>
    <row r="414" spans="1:3" x14ac:dyDescent="0.4">
      <c r="A414" s="1"/>
      <c r="B414" s="1"/>
      <c r="C414" s="1"/>
    </row>
    <row r="415" spans="1:3" x14ac:dyDescent="0.4">
      <c r="A415" s="1"/>
      <c r="B415" s="1"/>
      <c r="C415" s="1"/>
    </row>
    <row r="416" spans="1:3" x14ac:dyDescent="0.4">
      <c r="A416" s="1"/>
      <c r="B416" s="1"/>
      <c r="C416" s="1"/>
    </row>
    <row r="417" spans="1:3" x14ac:dyDescent="0.4">
      <c r="A417" s="1"/>
      <c r="B417" s="1"/>
      <c r="C417" s="1"/>
    </row>
    <row r="418" spans="1:3" x14ac:dyDescent="0.4">
      <c r="A418" s="1"/>
      <c r="B418" s="1"/>
      <c r="C418" s="1"/>
    </row>
    <row r="419" spans="1:3" x14ac:dyDescent="0.4">
      <c r="A419" s="1"/>
      <c r="B419" s="1"/>
      <c r="C419" s="1"/>
    </row>
    <row r="420" spans="1:3" x14ac:dyDescent="0.4">
      <c r="A420" s="1"/>
      <c r="B420" s="1"/>
      <c r="C420" s="1"/>
    </row>
    <row r="421" spans="1:3" x14ac:dyDescent="0.4">
      <c r="A421" s="1"/>
      <c r="B421" s="1"/>
      <c r="C421" s="1"/>
    </row>
    <row r="422" spans="1:3" x14ac:dyDescent="0.4">
      <c r="A422" s="1"/>
      <c r="B422" s="1"/>
      <c r="C422" s="1"/>
    </row>
    <row r="423" spans="1:3" x14ac:dyDescent="0.4">
      <c r="A423" s="1"/>
      <c r="B423" s="1"/>
      <c r="C423" s="1"/>
    </row>
    <row r="424" spans="1:3" x14ac:dyDescent="0.4">
      <c r="A424" s="1"/>
      <c r="B424" s="1"/>
      <c r="C424" s="1"/>
    </row>
    <row r="425" spans="1:3" x14ac:dyDescent="0.4">
      <c r="A425" s="1"/>
      <c r="B425" s="1"/>
      <c r="C425" s="1"/>
    </row>
    <row r="426" spans="1:3" x14ac:dyDescent="0.4">
      <c r="A426" s="1"/>
      <c r="B426" s="1"/>
      <c r="C426" s="1"/>
    </row>
    <row r="427" spans="1:3" x14ac:dyDescent="0.4">
      <c r="A427" s="1"/>
      <c r="B427" s="1"/>
      <c r="C427" s="1"/>
    </row>
    <row r="428" spans="1:3" x14ac:dyDescent="0.4">
      <c r="A428" s="1"/>
      <c r="B428" s="1"/>
      <c r="C428" s="1"/>
    </row>
    <row r="429" spans="1:3" x14ac:dyDescent="0.4">
      <c r="A429" s="1"/>
      <c r="B429" s="1"/>
      <c r="C429" s="1"/>
    </row>
    <row r="430" spans="1:3" x14ac:dyDescent="0.4">
      <c r="A430" s="1"/>
      <c r="B430" s="1"/>
      <c r="C430" s="1"/>
    </row>
    <row r="431" spans="1:3" x14ac:dyDescent="0.4">
      <c r="A431" s="1"/>
      <c r="B431" s="1"/>
      <c r="C431" s="1"/>
    </row>
    <row r="432" spans="1:3" x14ac:dyDescent="0.4">
      <c r="A432" s="1"/>
      <c r="B432" s="1"/>
      <c r="C432" s="1"/>
    </row>
    <row r="433" spans="1:3" x14ac:dyDescent="0.4">
      <c r="A433" s="1"/>
      <c r="B433" s="1"/>
      <c r="C433" s="1"/>
    </row>
    <row r="434" spans="1:3" x14ac:dyDescent="0.4">
      <c r="A434" s="1"/>
      <c r="B434" s="1"/>
      <c r="C434" s="1"/>
    </row>
    <row r="435" spans="1:3" x14ac:dyDescent="0.4">
      <c r="A435" s="1"/>
      <c r="B435" s="1"/>
      <c r="C435" s="1"/>
    </row>
    <row r="436" spans="1:3" x14ac:dyDescent="0.4">
      <c r="A436" s="1"/>
      <c r="B436" s="1"/>
      <c r="C436" s="1"/>
    </row>
    <row r="437" spans="1:3" x14ac:dyDescent="0.4">
      <c r="A437" s="1"/>
      <c r="B437" s="1"/>
      <c r="C437" s="1"/>
    </row>
    <row r="438" spans="1:3" x14ac:dyDescent="0.4">
      <c r="A438" s="1"/>
      <c r="B438" s="1"/>
      <c r="C438" s="1"/>
    </row>
    <row r="439" spans="1:3" x14ac:dyDescent="0.4">
      <c r="A439" s="1"/>
      <c r="B439" s="1"/>
      <c r="C439" s="1"/>
    </row>
    <row r="440" spans="1:3" x14ac:dyDescent="0.4">
      <c r="A440" s="1"/>
      <c r="B440" s="1"/>
      <c r="C440" s="1"/>
    </row>
    <row r="441" spans="1:3" x14ac:dyDescent="0.4">
      <c r="A441" s="1"/>
      <c r="B441" s="1"/>
      <c r="C441" s="1"/>
    </row>
    <row r="442" spans="1:3" x14ac:dyDescent="0.4">
      <c r="A442" s="1"/>
      <c r="B442" s="1"/>
      <c r="C442" s="1"/>
    </row>
    <row r="443" spans="1:3" x14ac:dyDescent="0.4">
      <c r="A443" s="1"/>
      <c r="B443" s="1"/>
      <c r="C443" s="1"/>
    </row>
    <row r="444" spans="1:3" x14ac:dyDescent="0.4">
      <c r="A444" s="1"/>
      <c r="B444" s="1"/>
      <c r="C444" s="1"/>
    </row>
    <row r="445" spans="1:3" x14ac:dyDescent="0.4">
      <c r="A445" s="1"/>
      <c r="B445" s="1"/>
      <c r="C445" s="1"/>
    </row>
    <row r="446" spans="1:3" x14ac:dyDescent="0.4">
      <c r="A446" s="1"/>
      <c r="B446" s="1"/>
      <c r="C446" s="1"/>
    </row>
    <row r="447" spans="1:3" x14ac:dyDescent="0.4">
      <c r="A447" s="1"/>
      <c r="B447" s="1"/>
      <c r="C447" s="1"/>
    </row>
    <row r="448" spans="1:3" x14ac:dyDescent="0.4">
      <c r="A448" s="1"/>
      <c r="B448" s="1"/>
      <c r="C448" s="1"/>
    </row>
    <row r="449" spans="1:3" x14ac:dyDescent="0.4">
      <c r="A449" s="1"/>
      <c r="B449" s="1"/>
      <c r="C449" s="1"/>
    </row>
    <row r="450" spans="1:3" x14ac:dyDescent="0.4">
      <c r="A450" s="1"/>
      <c r="B450" s="1"/>
      <c r="C450" s="1"/>
    </row>
    <row r="451" spans="1:3" x14ac:dyDescent="0.4">
      <c r="A451" s="1"/>
      <c r="B451" s="1"/>
      <c r="C451" s="1"/>
    </row>
    <row r="452" spans="1:3" x14ac:dyDescent="0.4">
      <c r="A452" s="1"/>
      <c r="B452" s="1"/>
      <c r="C452" s="1"/>
    </row>
    <row r="453" spans="1:3" x14ac:dyDescent="0.4">
      <c r="A453" s="1"/>
      <c r="B453" s="1"/>
      <c r="C453" s="1"/>
    </row>
    <row r="454" spans="1:3" x14ac:dyDescent="0.4">
      <c r="A454" s="1"/>
      <c r="B454" s="1"/>
      <c r="C454" s="1"/>
    </row>
    <row r="455" spans="1:3" x14ac:dyDescent="0.4">
      <c r="A455" s="1"/>
      <c r="B455" s="1"/>
      <c r="C455" s="1"/>
    </row>
    <row r="456" spans="1:3" x14ac:dyDescent="0.4">
      <c r="A456" s="1"/>
      <c r="B456" s="1"/>
      <c r="C456" s="1"/>
    </row>
    <row r="457" spans="1:3" x14ac:dyDescent="0.4">
      <c r="A457" s="1"/>
      <c r="B457" s="1"/>
      <c r="C457" s="1"/>
    </row>
    <row r="458" spans="1:3" x14ac:dyDescent="0.4">
      <c r="A458" s="1"/>
      <c r="B458" s="1"/>
      <c r="C458" s="1"/>
    </row>
    <row r="459" spans="1:3" x14ac:dyDescent="0.4">
      <c r="A459" s="1"/>
      <c r="B459" s="1"/>
      <c r="C459" s="1"/>
    </row>
    <row r="460" spans="1:3" x14ac:dyDescent="0.4">
      <c r="A460" s="1"/>
      <c r="B460" s="1"/>
      <c r="C460" s="1"/>
    </row>
    <row r="461" spans="1:3" x14ac:dyDescent="0.4">
      <c r="A461" s="1"/>
      <c r="B461" s="1"/>
      <c r="C461" s="1"/>
    </row>
    <row r="462" spans="1:3" x14ac:dyDescent="0.4">
      <c r="A462" s="1"/>
      <c r="B462" s="1"/>
      <c r="C462" s="1"/>
    </row>
    <row r="463" spans="1:3" x14ac:dyDescent="0.4">
      <c r="A463" s="1"/>
      <c r="B463" s="1"/>
      <c r="C463" s="1"/>
    </row>
    <row r="464" spans="1:3" x14ac:dyDescent="0.4">
      <c r="A464" s="1"/>
      <c r="B464" s="1"/>
      <c r="C464" s="1"/>
    </row>
    <row r="465" spans="1:3" x14ac:dyDescent="0.4">
      <c r="A465" s="1"/>
      <c r="B465" s="1"/>
      <c r="C465" s="1"/>
    </row>
    <row r="466" spans="1:3" x14ac:dyDescent="0.4">
      <c r="A466" s="1"/>
      <c r="B466" s="1"/>
      <c r="C466" s="1"/>
    </row>
    <row r="467" spans="1:3" x14ac:dyDescent="0.4">
      <c r="A467" s="1"/>
      <c r="B467" s="1"/>
      <c r="C467" s="1"/>
    </row>
    <row r="468" spans="1:3" x14ac:dyDescent="0.4">
      <c r="A468" s="1"/>
      <c r="B468" s="1"/>
      <c r="C468" s="1"/>
    </row>
    <row r="469" spans="1:3" x14ac:dyDescent="0.4">
      <c r="A469" s="1"/>
      <c r="B469" s="1"/>
      <c r="C469" s="1"/>
    </row>
    <row r="470" spans="1:3" x14ac:dyDescent="0.4">
      <c r="A470" s="1"/>
      <c r="B470" s="1"/>
      <c r="C470" s="1"/>
    </row>
    <row r="471" spans="1:3" x14ac:dyDescent="0.4">
      <c r="A471" s="1"/>
      <c r="B471" s="1"/>
      <c r="C471" s="1"/>
    </row>
    <row r="472" spans="1:3" x14ac:dyDescent="0.4">
      <c r="A472" s="1"/>
      <c r="B472" s="1"/>
      <c r="C472" s="1"/>
    </row>
    <row r="473" spans="1:3" x14ac:dyDescent="0.4">
      <c r="A473" s="1"/>
      <c r="B473" s="1"/>
      <c r="C473" s="1"/>
    </row>
    <row r="474" spans="1:3" x14ac:dyDescent="0.4">
      <c r="A474" s="1"/>
      <c r="B474" s="1"/>
      <c r="C474" s="1"/>
    </row>
    <row r="475" spans="1:3" x14ac:dyDescent="0.4">
      <c r="A475" s="1"/>
      <c r="B475" s="1"/>
      <c r="C475" s="1"/>
    </row>
    <row r="476" spans="1:3" x14ac:dyDescent="0.4">
      <c r="A476" s="1"/>
      <c r="B476" s="1"/>
      <c r="C476" s="1"/>
    </row>
    <row r="477" spans="1:3" x14ac:dyDescent="0.4">
      <c r="A477" s="1"/>
      <c r="B477" s="1"/>
      <c r="C477" s="1"/>
    </row>
    <row r="478" spans="1:3" x14ac:dyDescent="0.4">
      <c r="A478" s="1"/>
      <c r="B478" s="1"/>
      <c r="C478" s="1"/>
    </row>
    <row r="479" spans="1:3" x14ac:dyDescent="0.4">
      <c r="A479" s="1"/>
      <c r="B479" s="1"/>
      <c r="C479" s="1"/>
    </row>
    <row r="480" spans="1:3" x14ac:dyDescent="0.4">
      <c r="A480" s="1"/>
      <c r="B480" s="1"/>
      <c r="C480" s="1"/>
    </row>
    <row r="481" spans="1:3" x14ac:dyDescent="0.4">
      <c r="A481" s="1"/>
      <c r="B481" s="1"/>
      <c r="C481" s="1"/>
    </row>
    <row r="482" spans="1:3" x14ac:dyDescent="0.4">
      <c r="A482" s="1"/>
      <c r="B482" s="1"/>
      <c r="C482" s="1"/>
    </row>
    <row r="483" spans="1:3" x14ac:dyDescent="0.4">
      <c r="A483" s="1"/>
      <c r="B483" s="1"/>
      <c r="C483" s="1"/>
    </row>
    <row r="484" spans="1:3" x14ac:dyDescent="0.4">
      <c r="A484" s="1"/>
      <c r="B484" s="1"/>
      <c r="C484" s="1"/>
    </row>
    <row r="485" spans="1:3" x14ac:dyDescent="0.4">
      <c r="A485" s="1"/>
      <c r="B485" s="1"/>
      <c r="C485" s="1"/>
    </row>
    <row r="486" spans="1:3" x14ac:dyDescent="0.4">
      <c r="A486" s="1"/>
      <c r="B486" s="1"/>
      <c r="C486" s="1"/>
    </row>
    <row r="487" spans="1:3" x14ac:dyDescent="0.4">
      <c r="A487" s="1"/>
      <c r="B487" s="1"/>
      <c r="C487" s="1"/>
    </row>
    <row r="488" spans="1:3" x14ac:dyDescent="0.4">
      <c r="A488" s="1"/>
      <c r="B488" s="1"/>
      <c r="C488" s="1"/>
    </row>
    <row r="489" spans="1:3" x14ac:dyDescent="0.4">
      <c r="A489" s="1"/>
      <c r="B489" s="1"/>
      <c r="C489" s="1"/>
    </row>
    <row r="490" spans="1:3" x14ac:dyDescent="0.4">
      <c r="A490" s="1"/>
      <c r="B490" s="1"/>
      <c r="C490" s="1"/>
    </row>
    <row r="491" spans="1:3" x14ac:dyDescent="0.4">
      <c r="A491" s="1"/>
      <c r="B491" s="1"/>
      <c r="C491" s="1"/>
    </row>
    <row r="492" spans="1:3" x14ac:dyDescent="0.4">
      <c r="A492" s="1"/>
      <c r="B492" s="1"/>
      <c r="C492" s="1"/>
    </row>
    <row r="493" spans="1:3" x14ac:dyDescent="0.4">
      <c r="A493" s="1"/>
      <c r="B493" s="1"/>
      <c r="C493" s="1"/>
    </row>
    <row r="494" spans="1:3" x14ac:dyDescent="0.4">
      <c r="A494" s="1"/>
      <c r="B494" s="1"/>
      <c r="C494" s="1"/>
    </row>
    <row r="495" spans="1:3" x14ac:dyDescent="0.4">
      <c r="A495" s="1"/>
      <c r="B495" s="1"/>
      <c r="C495" s="1"/>
    </row>
    <row r="496" spans="1:3" x14ac:dyDescent="0.4">
      <c r="A496" s="1"/>
      <c r="B496" s="1"/>
      <c r="C496" s="1"/>
    </row>
    <row r="497" spans="1:3" x14ac:dyDescent="0.4">
      <c r="A497" s="1"/>
      <c r="B497" s="1"/>
      <c r="C497" s="1"/>
    </row>
  </sheetData>
  <mergeCells count="1">
    <mergeCell ref="B2:C2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9A30-125F-4129-9436-7B7FA09F7FEF}">
  <sheetPr codeName="Sheet5"/>
  <dimension ref="A1:G13"/>
  <sheetViews>
    <sheetView topLeftCell="D1" workbookViewId="0">
      <pane xSplit="3" ySplit="12" topLeftCell="G13" activePane="bottomRight" state="frozen"/>
      <selection activeCell="D1" sqref="D1"/>
      <selection pane="topRight" activeCell="G1" sqref="G1"/>
      <selection pane="bottomLeft" activeCell="D13" sqref="D13"/>
      <selection pane="bottomRight" activeCell="D12" sqref="D12"/>
    </sheetView>
  </sheetViews>
  <sheetFormatPr defaultRowHeight="14.6" x14ac:dyDescent="0.4"/>
  <cols>
    <col min="1" max="3" width="9.07421875" hidden="1" customWidth="1"/>
    <col min="4" max="4" width="15.07421875" bestFit="1" customWidth="1"/>
    <col min="5" max="5" width="15.3828125" bestFit="1" customWidth="1"/>
    <col min="6" max="6" width="11.61328125" customWidth="1"/>
    <col min="7" max="7" width="9.07421875" customWidth="1"/>
    <col min="9" max="11" width="9.07421875" customWidth="1"/>
  </cols>
  <sheetData>
    <row r="1" spans="1:7" ht="19.75" thickBot="1" x14ac:dyDescent="0.55000000000000004">
      <c r="D1" s="3" t="s">
        <v>48</v>
      </c>
      <c r="E1" s="3" t="s">
        <v>26</v>
      </c>
      <c r="F1" s="3" t="s">
        <v>25</v>
      </c>
    </row>
    <row r="2" spans="1:7" ht="15" thickTop="1" x14ac:dyDescent="0.4"/>
    <row r="3" spans="1:7" x14ac:dyDescent="0.4">
      <c r="D3" s="4" t="s">
        <v>34</v>
      </c>
      <c r="E3" s="5"/>
      <c r="F3" s="5"/>
      <c r="G3" s="5"/>
    </row>
    <row r="4" spans="1:7" x14ac:dyDescent="0.4">
      <c r="D4" s="4" t="s">
        <v>37</v>
      </c>
      <c r="E4" s="5"/>
      <c r="F4" s="5"/>
      <c r="G4" s="5"/>
    </row>
    <row r="5" spans="1:7" x14ac:dyDescent="0.4">
      <c r="D5" s="4" t="str">
        <f>"    dbo_" &amp; TableNameDisplay &amp; " = Source{[Schema=""dbo"",Item=""" &amp; TableNameInternal &amp; """]}[Data],"</f>
        <v xml:space="preserve">    dbo_Contact = Source{[Schema="dbo",Item="contact"]}[Data],</v>
      </c>
      <c r="E5" s="5"/>
      <c r="F5" s="5"/>
      <c r="G5" s="5"/>
    </row>
    <row r="6" spans="1:7" x14ac:dyDescent="0.4">
      <c r="D6" s="4" t="str">
        <f>"    SelectColumns = Table.SelectColumns(dbo_" &amp; TableNameDisplay &amp; "," &amp; "{" &amp; _xlfn.TEXTJOIN(",",TRUE,KeepColumns) &amp; "}"&amp; "),"</f>
        <v xml:space="preserve">    SelectColumns = Table.SelectColumns(dbo_Contact,{"accountid"}),</v>
      </c>
      <c r="E6" s="5"/>
      <c r="F6" s="5"/>
      <c r="G6" s="5"/>
    </row>
    <row r="7" spans="1:7" x14ac:dyDescent="0.4">
      <c r="D7" s="4" t="str">
        <f>"    RenamedColumns = Table.RenameColumns(SelectColumns," &amp; "{" &amp; _xlfn.TEXTJOIN(",",TRUE,ReNameColumns) &amp; "}" &amp; ")"</f>
        <v xml:space="preserve">    RenamedColumns = Table.RenameColumns(SelectColumns,{{"accountid","Account"}})</v>
      </c>
      <c r="E7" s="5"/>
      <c r="F7" s="5"/>
      <c r="G7" s="5"/>
    </row>
    <row r="8" spans="1:7" x14ac:dyDescent="0.4">
      <c r="D8" s="4" t="s">
        <v>35</v>
      </c>
      <c r="E8" s="5"/>
      <c r="F8" s="5"/>
      <c r="G8" s="5"/>
    </row>
    <row r="9" spans="1:7" x14ac:dyDescent="0.4">
      <c r="D9" s="4" t="s">
        <v>36</v>
      </c>
      <c r="E9" s="5"/>
      <c r="F9" s="5"/>
      <c r="G9" s="5"/>
    </row>
    <row r="12" spans="1:7" x14ac:dyDescent="0.4">
      <c r="A12" t="s">
        <v>45</v>
      </c>
      <c r="B12" t="s">
        <v>46</v>
      </c>
      <c r="C12" t="s">
        <v>47</v>
      </c>
      <c r="D12" t="s">
        <v>0</v>
      </c>
      <c r="E12" t="s">
        <v>1</v>
      </c>
      <c r="F12" t="s">
        <v>24</v>
      </c>
    </row>
    <row r="13" spans="1:7" x14ac:dyDescent="0.4">
      <c r="A13" t="str" cm="1">
        <f t="array" ref="A13">IF($F13="Y",QuoteWrap(D13),"")</f>
        <v>"accountid"</v>
      </c>
      <c r="B13" t="str" cm="1">
        <f t="array" ref="B13">IF($F13="Y",QuoteWrap(E13),"")</f>
        <v>"Account"</v>
      </c>
      <c r="C13" t="str">
        <f>IF(F13="Y","{" &amp; A13 &amp; "," &amp; B13 &amp; "}","")</f>
        <v>{"accountid","Account"}</v>
      </c>
      <c r="D13" t="s">
        <v>38</v>
      </c>
      <c r="E13" t="s">
        <v>3</v>
      </c>
      <c r="F13" t="s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993FB-9F58-4A1A-85FD-5C367AA5000D}">
  <sheetPr codeName="Sheet3"/>
  <dimension ref="A1:R7"/>
  <sheetViews>
    <sheetView workbookViewId="0"/>
  </sheetViews>
  <sheetFormatPr defaultRowHeight="14.6" x14ac:dyDescent="0.4"/>
  <cols>
    <col min="3" max="3" width="19.07421875" bestFit="1" customWidth="1"/>
    <col min="4" max="4" width="20" bestFit="1" customWidth="1"/>
    <col min="6" max="6" width="20.84375" bestFit="1" customWidth="1"/>
    <col min="7" max="7" width="21.84375" bestFit="1" customWidth="1"/>
    <col min="8" max="8" width="46.4609375" bestFit="1" customWidth="1"/>
  </cols>
  <sheetData>
    <row r="1" spans="1:18" x14ac:dyDescent="0.4">
      <c r="A1" t="e" cm="1">
        <f t="array" ref="A1">_xlfn._xlws.FILTER(Column_Names[],#REF!="Y","No Results")</f>
        <v>#REF!</v>
      </c>
      <c r="F1" t="str">
        <f t="shared" ref="F1:F5" si="0">"""" &amp; C1 &amp; """"</f>
        <v>""</v>
      </c>
      <c r="G1" t="str">
        <f t="shared" ref="G1:G5" si="1">IF(D1&lt;&gt;0,"""" &amp; D1 &amp; """","")</f>
        <v/>
      </c>
      <c r="H1" t="str">
        <f t="shared" ref="H1:H5" si="2">IF(G1&gt;"","{" &amp; F1 &amp; "," &amp; G1 &amp; "}","")</f>
        <v/>
      </c>
    </row>
    <row r="2" spans="1:18" x14ac:dyDescent="0.4">
      <c r="F2" t="str">
        <f t="shared" si="0"/>
        <v>""</v>
      </c>
      <c r="G2" t="str">
        <f t="shared" si="1"/>
        <v/>
      </c>
      <c r="H2" t="str">
        <f t="shared" si="2"/>
        <v/>
      </c>
    </row>
    <row r="3" spans="1:18" x14ac:dyDescent="0.4">
      <c r="F3" t="str">
        <f t="shared" si="0"/>
        <v>""</v>
      </c>
      <c r="G3" t="str">
        <f t="shared" si="1"/>
        <v/>
      </c>
      <c r="H3" t="str">
        <f t="shared" si="2"/>
        <v/>
      </c>
    </row>
    <row r="4" spans="1:18" x14ac:dyDescent="0.4">
      <c r="F4" t="str">
        <f t="shared" si="0"/>
        <v>""</v>
      </c>
      <c r="G4" t="str">
        <f t="shared" si="1"/>
        <v/>
      </c>
      <c r="H4" t="str">
        <f t="shared" si="2"/>
        <v/>
      </c>
    </row>
    <row r="5" spans="1:18" x14ac:dyDescent="0.4">
      <c r="F5" t="str">
        <f t="shared" si="0"/>
        <v>""</v>
      </c>
      <c r="G5" t="str">
        <f t="shared" si="1"/>
        <v/>
      </c>
      <c r="H5" t="str">
        <f t="shared" si="2"/>
        <v/>
      </c>
    </row>
    <row r="7" spans="1:18" x14ac:dyDescent="0.4">
      <c r="P7" t="str">
        <f>"""" &amp; C1 &amp; """"</f>
        <v>""</v>
      </c>
      <c r="Q7" t="str">
        <f>IF(D1&lt;&gt;0,"""" &amp; D1 &amp; """","")</f>
        <v/>
      </c>
      <c r="R7" t="str">
        <f>IF(Q7&gt;"","{" &amp; P7 &amp; "," &amp; Q7 &amp; "}","")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4D33F-6019-4085-848B-A1FA53928918}">
  <sheetPr codeName="Sheet6"/>
  <dimension ref="A1"/>
  <sheetViews>
    <sheetView workbookViewId="0"/>
  </sheetViews>
  <sheetFormatPr defaultRowHeight="14.6" x14ac:dyDescent="0.4"/>
  <cols>
    <col min="2" max="2" width="11.07421875" bestFit="1" customWidth="1"/>
  </cols>
  <sheetData>
    <row r="1" spans="1:1" x14ac:dyDescent="0.4">
      <c r="A1" t="str" cm="1">
        <f t="array" ref="A1">_xlfn._xlws.FILTER(EntityDefinitions[],EntityDefinitions[Use]="Y","No Data")</f>
        <v>No Data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6BF30-4AB9-42D6-9796-79943DB0AFBF}">
  <sheetPr codeName="Sheet2"/>
  <dimension ref="A1:I45"/>
  <sheetViews>
    <sheetView workbookViewId="0">
      <selection sqref="A1:E32"/>
    </sheetView>
  </sheetViews>
  <sheetFormatPr defaultRowHeight="14.6" x14ac:dyDescent="0.4"/>
  <cols>
    <col min="1" max="1" width="26.921875" bestFit="1" customWidth="1"/>
    <col min="2" max="2" width="30.3828125" bestFit="1" customWidth="1"/>
    <col min="3" max="3" width="7.3828125" bestFit="1" customWidth="1"/>
    <col min="4" max="4" width="16.61328125" bestFit="1" customWidth="1"/>
    <col min="5" max="5" width="21.4609375" bestFit="1" customWidth="1"/>
    <col min="6" max="6" width="26" bestFit="1" customWidth="1"/>
    <col min="7" max="7" width="27.84375" bestFit="1" customWidth="1"/>
    <col min="8" max="8" width="24.3828125" bestFit="1" customWidth="1"/>
    <col min="9" max="9" width="18" bestFit="1" customWidth="1"/>
    <col min="10" max="10" width="28.07421875" bestFit="1" customWidth="1"/>
    <col min="11" max="11" width="20.07421875" bestFit="1" customWidth="1"/>
    <col min="12" max="12" width="16.84375" bestFit="1" customWidth="1"/>
    <col min="13" max="13" width="18.15234375" bestFit="1" customWidth="1"/>
    <col min="14" max="14" width="24.53515625" bestFit="1" customWidth="1"/>
    <col min="15" max="15" width="27.4609375" bestFit="1" customWidth="1"/>
    <col min="16" max="16" width="26" bestFit="1" customWidth="1"/>
    <col min="17" max="17" width="49" bestFit="1" customWidth="1"/>
    <col min="18" max="18" width="13.84375" bestFit="1" customWidth="1"/>
    <col min="19" max="19" width="13.53515625" bestFit="1" customWidth="1"/>
    <col min="20" max="20" width="33.3828125" bestFit="1" customWidth="1"/>
    <col min="21" max="21" width="26.15234375" bestFit="1" customWidth="1"/>
    <col min="22" max="22" width="17" bestFit="1" customWidth="1"/>
    <col min="23" max="23" width="18.4609375" bestFit="1" customWidth="1"/>
    <col min="24" max="24" width="17" bestFit="1" customWidth="1"/>
    <col min="25" max="25" width="30.61328125" bestFit="1" customWidth="1"/>
    <col min="26" max="26" width="33" bestFit="1" customWidth="1"/>
    <col min="27" max="27" width="35.3828125" bestFit="1" customWidth="1"/>
    <col min="28" max="28" width="38.4609375" bestFit="1" customWidth="1"/>
    <col min="29" max="29" width="46.53515625" bestFit="1" customWidth="1"/>
    <col min="30" max="30" width="21.84375" bestFit="1" customWidth="1"/>
    <col min="31" max="31" width="15" bestFit="1" customWidth="1"/>
    <col min="32" max="32" width="20.3828125" bestFit="1" customWidth="1"/>
    <col min="33" max="33" width="18.3828125" bestFit="1" customWidth="1"/>
    <col min="34" max="34" width="17" bestFit="1" customWidth="1"/>
    <col min="35" max="35" width="15.4609375" bestFit="1" customWidth="1"/>
    <col min="36" max="36" width="21.15234375" bestFit="1" customWidth="1"/>
    <col min="37" max="37" width="16.4609375" bestFit="1" customWidth="1"/>
    <col min="38" max="38" width="35.61328125" bestFit="1" customWidth="1"/>
    <col min="39" max="39" width="37.15234375" bestFit="1" customWidth="1"/>
    <col min="40" max="40" width="17.15234375" bestFit="1" customWidth="1"/>
    <col min="41" max="41" width="32.84375" bestFit="1" customWidth="1"/>
    <col min="42" max="42" width="35.07421875" bestFit="1" customWidth="1"/>
    <col min="43" max="43" width="21.07421875" bestFit="1" customWidth="1"/>
    <col min="44" max="44" width="33.07421875" bestFit="1" customWidth="1"/>
    <col min="45" max="45" width="17.921875" bestFit="1" customWidth="1"/>
    <col min="46" max="46" width="26.84375" bestFit="1" customWidth="1"/>
    <col min="47" max="47" width="10.3828125" bestFit="1" customWidth="1"/>
    <col min="48" max="48" width="24.921875" bestFit="1" customWidth="1"/>
    <col min="49" max="49" width="23.61328125" bestFit="1" customWidth="1"/>
    <col min="50" max="50" width="18.4609375" bestFit="1" customWidth="1"/>
    <col min="51" max="51" width="23.15234375" bestFit="1" customWidth="1"/>
    <col min="52" max="52" width="17" bestFit="1" customWidth="1"/>
    <col min="53" max="53" width="19.84375" bestFit="1" customWidth="1"/>
    <col min="54" max="54" width="16.61328125" bestFit="1" customWidth="1"/>
    <col min="55" max="55" width="40.53515625" bestFit="1" customWidth="1"/>
    <col min="56" max="56" width="21.4609375" bestFit="1" customWidth="1"/>
    <col min="57" max="57" width="21.84375" bestFit="1" customWidth="1"/>
    <col min="58" max="58" width="32.61328125" bestFit="1" customWidth="1"/>
    <col min="59" max="59" width="37.84375" bestFit="1" customWidth="1"/>
    <col min="60" max="60" width="19.61328125" bestFit="1" customWidth="1"/>
    <col min="61" max="61" width="16.3828125" bestFit="1" customWidth="1"/>
    <col min="62" max="62" width="17.84375" bestFit="1" customWidth="1"/>
    <col min="63" max="63" width="24.07421875" bestFit="1" customWidth="1"/>
    <col min="64" max="64" width="34.921875" bestFit="1" customWidth="1"/>
    <col min="65" max="65" width="38" bestFit="1" customWidth="1"/>
    <col min="66" max="66" width="33.3828125" bestFit="1" customWidth="1"/>
    <col min="67" max="67" width="27.921875" bestFit="1" customWidth="1"/>
    <col min="68" max="68" width="31.921875" bestFit="1" customWidth="1"/>
    <col min="69" max="69" width="17" bestFit="1" customWidth="1"/>
    <col min="70" max="70" width="22.07421875" bestFit="1" customWidth="1"/>
    <col min="71" max="71" width="13.07421875" bestFit="1" customWidth="1"/>
    <col min="72" max="72" width="18.4609375" bestFit="1" customWidth="1"/>
    <col min="73" max="73" width="46.07421875" bestFit="1" customWidth="1"/>
    <col min="74" max="74" width="17" bestFit="1" customWidth="1"/>
    <col min="75" max="75" width="30.15234375" bestFit="1" customWidth="1"/>
    <col min="76" max="76" width="32.53515625" bestFit="1" customWidth="1"/>
    <col min="77" max="77" width="26.3828125" bestFit="1" customWidth="1"/>
    <col min="78" max="78" width="48.53515625" bestFit="1" customWidth="1"/>
    <col min="79" max="79" width="13.84375" bestFit="1" customWidth="1"/>
    <col min="80" max="80" width="28.07421875" bestFit="1" customWidth="1"/>
    <col min="81" max="81" width="25.84375" bestFit="1" customWidth="1"/>
    <col min="82" max="82" width="21" bestFit="1" customWidth="1"/>
    <col min="83" max="83" width="27.3828125" bestFit="1" customWidth="1"/>
    <col min="84" max="84" width="14" bestFit="1" customWidth="1"/>
    <col min="85" max="85" width="15.921875" bestFit="1" customWidth="1"/>
    <col min="86" max="86" width="16.921875" bestFit="1" customWidth="1"/>
    <col min="87" max="87" width="13.3828125" bestFit="1" customWidth="1"/>
    <col min="88" max="88" width="29" bestFit="1" customWidth="1"/>
    <col min="89" max="89" width="25.3828125" bestFit="1" customWidth="1"/>
    <col min="90" max="90" width="28.4609375" bestFit="1" customWidth="1"/>
    <col min="91" max="91" width="22.84375" bestFit="1" customWidth="1"/>
    <col min="92" max="92" width="20.15234375" bestFit="1" customWidth="1"/>
    <col min="93" max="93" width="35.61328125" bestFit="1" customWidth="1"/>
    <col min="94" max="94" width="20.15234375" bestFit="1" customWidth="1"/>
    <col min="95" max="95" width="22.3828125" bestFit="1" customWidth="1"/>
    <col min="96" max="96" width="30" bestFit="1" customWidth="1"/>
    <col min="97" max="97" width="26.4609375" bestFit="1" customWidth="1"/>
    <col min="98" max="98" width="37" bestFit="1" customWidth="1"/>
    <col min="99" max="99" width="25.15234375" bestFit="1" customWidth="1"/>
    <col min="100" max="100" width="18.3828125" bestFit="1" customWidth="1"/>
    <col min="101" max="101" width="28.4609375" bestFit="1" customWidth="1"/>
    <col min="102" max="102" width="34.53515625" bestFit="1" customWidth="1"/>
    <col min="103" max="103" width="31.15234375" bestFit="1" customWidth="1"/>
    <col min="104" max="104" width="24.15234375" bestFit="1" customWidth="1"/>
    <col min="105" max="105" width="22.61328125" bestFit="1" customWidth="1"/>
    <col min="106" max="106" width="32.07421875" bestFit="1" customWidth="1"/>
    <col min="107" max="107" width="30.15234375" bestFit="1" customWidth="1"/>
    <col min="108" max="108" width="32.15234375" bestFit="1" customWidth="1"/>
    <col min="109" max="109" width="22.4609375" bestFit="1" customWidth="1"/>
    <col min="110" max="110" width="19.3828125" bestFit="1" customWidth="1"/>
    <col min="111" max="111" width="31.07421875" bestFit="1" customWidth="1"/>
    <col min="112" max="112" width="30.3828125" bestFit="1" customWidth="1"/>
    <col min="113" max="113" width="30.4609375" bestFit="1" customWidth="1"/>
    <col min="114" max="114" width="20.3828125" bestFit="1" customWidth="1"/>
    <col min="115" max="115" width="34.61328125" bestFit="1" customWidth="1"/>
    <col min="116" max="116" width="35.07421875" bestFit="1" customWidth="1"/>
    <col min="117" max="117" width="32.15234375" bestFit="1" customWidth="1"/>
    <col min="118" max="118" width="29.07421875" bestFit="1" customWidth="1"/>
    <col min="119" max="119" width="26.3828125" bestFit="1" customWidth="1"/>
    <col min="120" max="120" width="31.15234375" bestFit="1" customWidth="1"/>
    <col min="121" max="121" width="41.84375" bestFit="1" customWidth="1"/>
    <col min="122" max="122" width="41.3828125" bestFit="1" customWidth="1"/>
    <col min="123" max="123" width="27.07421875" bestFit="1" customWidth="1"/>
    <col min="124" max="124" width="26.3828125" bestFit="1" customWidth="1"/>
    <col min="125" max="125" width="32.84375" bestFit="1" customWidth="1"/>
    <col min="126" max="126" width="32.15234375" bestFit="1" customWidth="1"/>
    <col min="127" max="127" width="38.84375" bestFit="1" customWidth="1"/>
    <col min="128" max="128" width="38.15234375" bestFit="1" customWidth="1"/>
    <col min="129" max="129" width="36.15234375" bestFit="1" customWidth="1"/>
    <col min="130" max="130" width="52.3828125" bestFit="1" customWidth="1"/>
    <col min="131" max="131" width="28.3828125" bestFit="1" customWidth="1"/>
    <col min="132" max="132" width="62.84375" bestFit="1" customWidth="1"/>
    <col min="133" max="133" width="43.3828125" bestFit="1" customWidth="1"/>
    <col min="134" max="134" width="30.07421875" bestFit="1" customWidth="1"/>
    <col min="135" max="135" width="24.84375" bestFit="1" customWidth="1"/>
    <col min="136" max="136" width="18.53515625" bestFit="1" customWidth="1"/>
    <col min="137" max="137" width="27.3828125" bestFit="1" customWidth="1"/>
    <col min="138" max="138" width="20.3828125" bestFit="1" customWidth="1"/>
    <col min="139" max="139" width="25.15234375" bestFit="1" customWidth="1"/>
    <col min="140" max="140" width="25.921875" bestFit="1" customWidth="1"/>
    <col min="141" max="141" width="24.4609375" bestFit="1" customWidth="1"/>
    <col min="142" max="142" width="47.61328125" bestFit="1" customWidth="1"/>
    <col min="143" max="143" width="40.15234375" bestFit="1" customWidth="1"/>
    <col min="144" max="144" width="36.4609375" bestFit="1" customWidth="1"/>
    <col min="145" max="145" width="35.3828125" bestFit="1" customWidth="1"/>
    <col min="146" max="146" width="30.15234375" bestFit="1" customWidth="1"/>
    <col min="147" max="147" width="27.84375" bestFit="1" customWidth="1"/>
    <col min="148" max="148" width="38.84375" bestFit="1" customWidth="1"/>
    <col min="149" max="149" width="24.53515625" bestFit="1" customWidth="1"/>
    <col min="150" max="150" width="25" bestFit="1" customWidth="1"/>
    <col min="151" max="151" width="41" bestFit="1" customWidth="1"/>
    <col min="152" max="152" width="45.15234375" bestFit="1" customWidth="1"/>
    <col min="153" max="153" width="50.15234375" bestFit="1" customWidth="1"/>
    <col min="154" max="154" width="46" bestFit="1" customWidth="1"/>
    <col min="155" max="155" width="23.4609375" bestFit="1" customWidth="1"/>
    <col min="156" max="156" width="26" bestFit="1" customWidth="1"/>
    <col min="157" max="157" width="31" bestFit="1" customWidth="1"/>
    <col min="158" max="158" width="32.15234375" bestFit="1" customWidth="1"/>
    <col min="159" max="159" width="27.15234375" bestFit="1" customWidth="1"/>
    <col min="160" max="160" width="43.15234375" bestFit="1" customWidth="1"/>
    <col min="161" max="161" width="20.15234375" bestFit="1" customWidth="1"/>
    <col min="162" max="162" width="21.61328125" bestFit="1" customWidth="1"/>
    <col min="163" max="163" width="20.84375" bestFit="1" customWidth="1"/>
    <col min="164" max="164" width="16" bestFit="1" customWidth="1"/>
    <col min="165" max="165" width="23" bestFit="1" customWidth="1"/>
    <col min="166" max="166" width="14.07421875" bestFit="1" customWidth="1"/>
    <col min="167" max="167" width="20.4609375" bestFit="1" customWidth="1"/>
    <col min="168" max="168" width="25.84375" bestFit="1" customWidth="1"/>
    <col min="169" max="169" width="39.07421875" bestFit="1" customWidth="1"/>
    <col min="170" max="170" width="58.53515625" bestFit="1" customWidth="1"/>
    <col min="171" max="171" width="24.07421875" bestFit="1" customWidth="1"/>
    <col min="172" max="172" width="48.07421875" bestFit="1" customWidth="1"/>
    <col min="173" max="173" width="31.921875" bestFit="1" customWidth="1"/>
    <col min="174" max="174" width="33.921875" bestFit="1" customWidth="1"/>
    <col min="175" max="175" width="34.53515625" bestFit="1" customWidth="1"/>
    <col min="176" max="176" width="27.84375" bestFit="1" customWidth="1"/>
    <col min="177" max="177" width="28.4609375" bestFit="1" customWidth="1"/>
    <col min="178" max="178" width="22.07421875" bestFit="1" customWidth="1"/>
    <col min="179" max="179" width="27.84375" bestFit="1" customWidth="1"/>
    <col min="180" max="180" width="29.61328125" bestFit="1" customWidth="1"/>
    <col min="181" max="181" width="26.15234375" bestFit="1" customWidth="1"/>
    <col min="182" max="182" width="16.15234375" bestFit="1" customWidth="1"/>
    <col min="183" max="183" width="15.53515625" bestFit="1" customWidth="1"/>
    <col min="184" max="184" width="38.61328125" bestFit="1" customWidth="1"/>
    <col min="185" max="185" width="28.4609375" bestFit="1" customWidth="1"/>
    <col min="186" max="186" width="41.15234375" bestFit="1" customWidth="1"/>
    <col min="187" max="187" width="38.07421875" bestFit="1" customWidth="1"/>
    <col min="188" max="188" width="17" bestFit="1" customWidth="1"/>
    <col min="189" max="189" width="32.15234375" bestFit="1" customWidth="1"/>
    <col min="190" max="190" width="21.3828125" bestFit="1" customWidth="1"/>
    <col min="191" max="191" width="27.53515625" bestFit="1" customWidth="1"/>
    <col min="192" max="192" width="18.84375" bestFit="1" customWidth="1"/>
    <col min="193" max="193" width="18.15234375" bestFit="1" customWidth="1"/>
    <col min="194" max="194" width="20.53515625" bestFit="1" customWidth="1"/>
    <col min="195" max="195" width="16.3828125" bestFit="1" customWidth="1"/>
    <col min="196" max="196" width="44.15234375" bestFit="1" customWidth="1"/>
    <col min="197" max="197" width="24.15234375" bestFit="1" customWidth="1"/>
    <col min="198" max="198" width="20.53515625" bestFit="1" customWidth="1"/>
    <col min="199" max="199" width="22.07421875" bestFit="1" customWidth="1"/>
    <col min="200" max="200" width="26.84375" bestFit="1" customWidth="1"/>
    <col min="201" max="201" width="26.15234375" bestFit="1" customWidth="1"/>
    <col min="202" max="202" width="32.921875" bestFit="1" customWidth="1"/>
    <col min="203" max="203" width="32.3828125" bestFit="1" customWidth="1"/>
    <col min="204" max="204" width="30.15234375" bestFit="1" customWidth="1"/>
    <col min="205" max="205" width="46.3828125" bestFit="1" customWidth="1"/>
    <col min="206" max="206" width="32.07421875" bestFit="1" customWidth="1"/>
    <col min="207" max="207" width="20" bestFit="1" customWidth="1"/>
    <col min="208" max="208" width="25" bestFit="1" customWidth="1"/>
    <col min="209" max="209" width="27.53515625" bestFit="1" customWidth="1"/>
    <col min="210" max="210" width="38.15234375" bestFit="1" customWidth="1"/>
    <col min="211" max="211" width="22.3828125" bestFit="1" customWidth="1"/>
    <col min="212" max="212" width="28.61328125" bestFit="1" customWidth="1"/>
    <col min="213" max="213" width="28.53515625" bestFit="1" customWidth="1"/>
    <col min="214" max="214" width="20.53515625" bestFit="1" customWidth="1"/>
    <col min="215" max="215" width="19.3828125" bestFit="1" customWidth="1"/>
    <col min="216" max="216" width="30.3828125" bestFit="1" customWidth="1"/>
    <col min="217" max="217" width="26.61328125" bestFit="1" customWidth="1"/>
    <col min="218" max="218" width="25.61328125" bestFit="1" customWidth="1"/>
    <col min="219" max="219" width="25.07421875" bestFit="1" customWidth="1"/>
    <col min="220" max="220" width="20.61328125" bestFit="1" customWidth="1"/>
    <col min="221" max="221" width="20.53515625" bestFit="1" customWidth="1"/>
    <col min="222" max="222" width="17.921875" bestFit="1" customWidth="1"/>
    <col min="223" max="223" width="33.07421875" bestFit="1" customWidth="1"/>
    <col min="224" max="224" width="17.4609375" bestFit="1" customWidth="1"/>
    <col min="225" max="225" width="25.3828125" bestFit="1" customWidth="1"/>
    <col min="226" max="226" width="24.61328125" bestFit="1" customWidth="1"/>
    <col min="227" max="227" width="19.07421875" bestFit="1" customWidth="1"/>
    <col min="228" max="228" width="17.921875" bestFit="1" customWidth="1"/>
    <col min="229" max="229" width="27.53515625" bestFit="1" customWidth="1"/>
    <col min="230" max="230" width="37.4609375" bestFit="1" customWidth="1"/>
    <col min="231" max="231" width="12.53515625" bestFit="1" customWidth="1"/>
    <col min="232" max="232" width="21.3828125" bestFit="1" customWidth="1"/>
    <col min="233" max="233" width="14.3828125" bestFit="1" customWidth="1"/>
    <col min="234" max="234" width="32.61328125" bestFit="1" customWidth="1"/>
    <col min="235" max="235" width="56.921875" bestFit="1" customWidth="1"/>
    <col min="236" max="236" width="24.15234375" bestFit="1" customWidth="1"/>
    <col min="237" max="237" width="18.84375" bestFit="1" customWidth="1"/>
    <col min="238" max="238" width="19.4609375" bestFit="1" customWidth="1"/>
    <col min="239" max="239" width="16.15234375" bestFit="1" customWidth="1"/>
    <col min="240" max="240" width="17.61328125" bestFit="1" customWidth="1"/>
    <col min="241" max="241" width="23.84375" bestFit="1" customWidth="1"/>
    <col min="242" max="242" width="17.3828125" bestFit="1" customWidth="1"/>
    <col min="243" max="243" width="22.84375" bestFit="1" customWidth="1"/>
    <col min="244" max="244" width="22.61328125" bestFit="1" customWidth="1"/>
    <col min="245" max="245" width="27.84375" bestFit="1" customWidth="1"/>
    <col min="246" max="246" width="54.07421875" bestFit="1" customWidth="1"/>
    <col min="247" max="247" width="32" bestFit="1" customWidth="1"/>
    <col min="248" max="248" width="30.07421875" bestFit="1" customWidth="1"/>
    <col min="249" max="249" width="29.3828125" bestFit="1" customWidth="1"/>
    <col min="250" max="250" width="26.07421875" bestFit="1" customWidth="1"/>
    <col min="251" max="251" width="32.4609375" bestFit="1" customWidth="1"/>
    <col min="252" max="252" width="50" bestFit="1" customWidth="1"/>
    <col min="253" max="253" width="39.15234375" bestFit="1" customWidth="1"/>
    <col min="254" max="254" width="27.61328125" bestFit="1" customWidth="1"/>
    <col min="255" max="255" width="23.15234375" bestFit="1" customWidth="1"/>
    <col min="256" max="256" width="40.53515625" bestFit="1" customWidth="1"/>
    <col min="257" max="257" width="53.4609375" bestFit="1" customWidth="1"/>
    <col min="258" max="258" width="63.84375" bestFit="1" customWidth="1"/>
    <col min="259" max="259" width="46.84375" bestFit="1" customWidth="1"/>
    <col min="260" max="260" width="43.84375" bestFit="1" customWidth="1"/>
    <col min="261" max="261" width="23.3828125" bestFit="1" customWidth="1"/>
    <col min="262" max="262" width="37.4609375" bestFit="1" customWidth="1"/>
    <col min="263" max="263" width="27.84375" bestFit="1" customWidth="1"/>
    <col min="264" max="264" width="41.921875" bestFit="1" customWidth="1"/>
    <col min="265" max="265" width="28.3828125" bestFit="1" customWidth="1"/>
    <col min="266" max="266" width="25.15234375" bestFit="1" customWidth="1"/>
    <col min="267" max="267" width="31.4609375" bestFit="1" customWidth="1"/>
    <col min="268" max="268" width="54.61328125" bestFit="1" customWidth="1"/>
    <col min="269" max="269" width="38.07421875" bestFit="1" customWidth="1"/>
    <col min="270" max="270" width="22.07421875" bestFit="1" customWidth="1"/>
    <col min="271" max="271" width="37.07421875" bestFit="1" customWidth="1"/>
    <col min="272" max="272" width="26.61328125" bestFit="1" customWidth="1"/>
    <col min="273" max="273" width="36.61328125" bestFit="1" customWidth="1"/>
    <col min="274" max="274" width="47.4609375" bestFit="1" customWidth="1"/>
    <col min="275" max="275" width="23.84375" bestFit="1" customWidth="1"/>
    <col min="276" max="276" width="36.61328125" bestFit="1" customWidth="1"/>
    <col min="277" max="277" width="20.61328125" bestFit="1" customWidth="1"/>
    <col min="278" max="278" width="25.07421875" bestFit="1" customWidth="1"/>
    <col min="279" max="279" width="29.84375" bestFit="1" customWidth="1"/>
    <col min="280" max="280" width="26.921875" bestFit="1" customWidth="1"/>
    <col min="281" max="281" width="24" bestFit="1" customWidth="1"/>
    <col min="282" max="282" width="20.84375" bestFit="1" customWidth="1"/>
    <col min="283" max="283" width="27.07421875" bestFit="1" customWidth="1"/>
    <col min="284" max="284" width="50.15234375" bestFit="1" customWidth="1"/>
    <col min="285" max="285" width="33.84375" bestFit="1" customWidth="1"/>
    <col min="286" max="286" width="28.15234375" bestFit="1" customWidth="1"/>
    <col min="287" max="287" width="22.07421875" bestFit="1" customWidth="1"/>
    <col min="288" max="288" width="17.84375" bestFit="1" customWidth="1"/>
    <col min="289" max="289" width="32.61328125" bestFit="1" customWidth="1"/>
    <col min="290" max="290" width="22.15234375" bestFit="1" customWidth="1"/>
    <col min="291" max="291" width="32.15234375" bestFit="1" customWidth="1"/>
    <col min="292" max="292" width="29.4609375" bestFit="1" customWidth="1"/>
    <col min="293" max="293" width="26.15234375" bestFit="1" customWidth="1"/>
    <col min="294" max="294" width="32.53515625" bestFit="1" customWidth="1"/>
    <col min="295" max="295" width="55.84375" bestFit="1" customWidth="1"/>
    <col min="296" max="296" width="39.15234375" bestFit="1" customWidth="1"/>
    <col min="297" max="297" width="6.921875" bestFit="1" customWidth="1"/>
    <col min="298" max="298" width="27.61328125" bestFit="1" customWidth="1"/>
    <col min="299" max="299" width="13.07421875" bestFit="1" customWidth="1"/>
    <col min="300" max="300" width="13.61328125" bestFit="1" customWidth="1"/>
    <col min="301" max="301" width="24.84375" bestFit="1" customWidth="1"/>
    <col min="302" max="302" width="26.4609375" bestFit="1" customWidth="1"/>
    <col min="303" max="303" width="17.3828125" bestFit="1" customWidth="1"/>
    <col min="304" max="304" width="23.61328125" bestFit="1" customWidth="1"/>
    <col min="305" max="305" width="25.07421875" bestFit="1" customWidth="1"/>
    <col min="306" max="306" width="47.15234375" bestFit="1" customWidth="1"/>
    <col min="307" max="307" width="13.3828125" bestFit="1" customWidth="1"/>
    <col min="308" max="308" width="13.07421875" bestFit="1" customWidth="1"/>
    <col min="309" max="309" width="24.4609375" bestFit="1" customWidth="1"/>
    <col min="310" max="310" width="18.07421875" bestFit="1" customWidth="1"/>
    <col min="311" max="311" width="47.61328125" bestFit="1" customWidth="1"/>
    <col min="312" max="312" width="31.15234375" bestFit="1" customWidth="1"/>
    <col min="313" max="313" width="15.921875" bestFit="1" customWidth="1"/>
    <col min="314" max="314" width="18.3828125" bestFit="1" customWidth="1"/>
    <col min="315" max="315" width="21.3828125" bestFit="1" customWidth="1"/>
    <col min="316" max="316" width="20.3828125" bestFit="1" customWidth="1"/>
    <col min="317" max="317" width="27.4609375" bestFit="1" customWidth="1"/>
    <col min="318" max="318" width="32.07421875" bestFit="1" customWidth="1"/>
    <col min="319" max="319" width="25.3828125" bestFit="1" customWidth="1"/>
    <col min="320" max="320" width="16.4609375" bestFit="1" customWidth="1"/>
    <col min="321" max="321" width="17.84375" bestFit="1" customWidth="1"/>
    <col min="322" max="322" width="14.15234375" bestFit="1" customWidth="1"/>
    <col min="323" max="323" width="22.53515625" bestFit="1" customWidth="1"/>
    <col min="324" max="324" width="16.4609375" bestFit="1" customWidth="1"/>
    <col min="325" max="325" width="29.61328125" bestFit="1" customWidth="1"/>
    <col min="326" max="326" width="31.84375" bestFit="1" customWidth="1"/>
    <col min="327" max="327" width="34.07421875" bestFit="1" customWidth="1"/>
    <col min="328" max="328" width="25.921875" bestFit="1" customWidth="1"/>
    <col min="329" max="329" width="37.07421875" bestFit="1" customWidth="1"/>
    <col min="330" max="330" width="44.84375" bestFit="1" customWidth="1"/>
    <col min="331" max="331" width="22.3828125" bestFit="1" customWidth="1"/>
    <col min="332" max="332" width="21.07421875" bestFit="1" customWidth="1"/>
    <col min="333" max="333" width="28.07421875" bestFit="1" customWidth="1"/>
    <col min="334" max="334" width="14.3828125" bestFit="1" customWidth="1"/>
    <col min="335" max="335" width="15.921875" bestFit="1" customWidth="1"/>
    <col min="336" max="336" width="21.15234375" bestFit="1" customWidth="1"/>
    <col min="337" max="337" width="21.84375" bestFit="1" customWidth="1"/>
    <col min="338" max="338" width="25.61328125" bestFit="1" customWidth="1"/>
    <col min="339" max="339" width="17.07421875" bestFit="1" customWidth="1"/>
    <col min="340" max="340" width="30.15234375" bestFit="1" customWidth="1"/>
    <col min="341" max="341" width="26.84375" bestFit="1" customWidth="1"/>
    <col min="342" max="342" width="27.3828125" bestFit="1" customWidth="1"/>
    <col min="343" max="343" width="33.61328125" bestFit="1" customWidth="1"/>
    <col min="344" max="344" width="34.61328125" bestFit="1" customWidth="1"/>
    <col min="345" max="345" width="29.07421875" bestFit="1" customWidth="1"/>
    <col min="346" max="346" width="25.84375" bestFit="1" customWidth="1"/>
    <col min="347" max="347" width="22.84375" bestFit="1" customWidth="1"/>
    <col min="348" max="348" width="40.15234375" bestFit="1" customWidth="1"/>
    <col min="349" max="349" width="43.4609375" bestFit="1" customWidth="1"/>
    <col min="350" max="350" width="27.921875" bestFit="1" customWidth="1"/>
    <col min="351" max="351" width="24.84375" bestFit="1" customWidth="1"/>
    <col min="352" max="352" width="42.3828125" bestFit="1" customWidth="1"/>
    <col min="353" max="353" width="43.61328125" bestFit="1" customWidth="1"/>
    <col min="354" max="354" width="49" bestFit="1" customWidth="1"/>
    <col min="355" max="355" width="42.84375" bestFit="1" customWidth="1"/>
    <col min="356" max="356" width="21.3828125" bestFit="1" customWidth="1"/>
    <col min="357" max="357" width="32.07421875" bestFit="1" customWidth="1"/>
    <col min="358" max="358" width="25.84375" bestFit="1" customWidth="1"/>
    <col min="359" max="359" width="36.53515625" bestFit="1" customWidth="1"/>
    <col min="360" max="360" width="36.07421875" bestFit="1" customWidth="1"/>
    <col min="361" max="361" width="23.3828125" bestFit="1" customWidth="1"/>
    <col min="362" max="362" width="20.3828125" bestFit="1" customWidth="1"/>
    <col min="363" max="363" width="26.61328125" bestFit="1" customWidth="1"/>
    <col min="364" max="364" width="23.53515625" bestFit="1" customWidth="1"/>
    <col min="365" max="365" width="20.3828125" bestFit="1" customWidth="1"/>
    <col min="366" max="366" width="32.15234375" bestFit="1" customWidth="1"/>
    <col min="367" max="367" width="21.53515625" bestFit="1" customWidth="1"/>
    <col min="368" max="368" width="27.84375" bestFit="1" customWidth="1"/>
    <col min="369" max="369" width="17.15234375" bestFit="1" customWidth="1"/>
    <col min="370" max="370" width="38.15234375" bestFit="1" customWidth="1"/>
    <col min="371" max="371" width="18.53515625" bestFit="1" customWidth="1"/>
    <col min="372" max="372" width="44.61328125" bestFit="1" customWidth="1"/>
    <col min="373" max="373" width="39.15234375" bestFit="1" customWidth="1"/>
    <col min="374" max="374" width="37.921875" bestFit="1" customWidth="1"/>
    <col min="375" max="375" width="29.15234375" bestFit="1" customWidth="1"/>
    <col min="376" max="376" width="26" bestFit="1" customWidth="1"/>
    <col min="377" max="377" width="40.07421875" bestFit="1" customWidth="1"/>
    <col min="378" max="378" width="33.3828125" bestFit="1" customWidth="1"/>
    <col min="379" max="379" width="18.07421875" bestFit="1" customWidth="1"/>
    <col min="380" max="380" width="22.84375" bestFit="1" customWidth="1"/>
    <col min="381" max="381" width="16.921875" bestFit="1" customWidth="1"/>
    <col min="382" max="382" width="23.07421875" bestFit="1" customWidth="1"/>
    <col min="383" max="383" width="33.53515625" bestFit="1" customWidth="1"/>
    <col min="384" max="384" width="36.53515625" bestFit="1" customWidth="1"/>
    <col min="385" max="385" width="25" bestFit="1" customWidth="1"/>
    <col min="386" max="386" width="32.07421875" bestFit="1" customWidth="1"/>
    <col min="387" max="387" width="27.07421875" bestFit="1" customWidth="1"/>
    <col min="388" max="388" width="20.84375" bestFit="1" customWidth="1"/>
    <col min="389" max="389" width="34.07421875" bestFit="1" customWidth="1"/>
    <col min="390" max="390" width="25.84375" bestFit="1" customWidth="1"/>
    <col min="391" max="391" width="18.3828125" bestFit="1" customWidth="1"/>
    <col min="392" max="392" width="28.84375" bestFit="1" customWidth="1"/>
    <col min="393" max="393" width="27.07421875" bestFit="1" customWidth="1"/>
    <col min="394" max="394" width="30.61328125" bestFit="1" customWidth="1"/>
    <col min="395" max="395" width="16.3828125" bestFit="1" customWidth="1"/>
    <col min="396" max="396" width="21.15234375" bestFit="1" customWidth="1"/>
    <col min="397" max="397" width="12.61328125" bestFit="1" customWidth="1"/>
    <col min="398" max="398" width="17.84375" bestFit="1" customWidth="1"/>
    <col min="399" max="399" width="44.15234375" bestFit="1" customWidth="1"/>
    <col min="400" max="400" width="16.3828125" bestFit="1" customWidth="1"/>
    <col min="401" max="401" width="22.61328125" bestFit="1" customWidth="1"/>
    <col min="402" max="402" width="28.53515625" bestFit="1" customWidth="1"/>
    <col min="403" max="403" width="30.07421875" bestFit="1" customWidth="1"/>
    <col min="404" max="404" width="25.3828125" bestFit="1" customWidth="1"/>
    <col min="405" max="405" width="22.61328125" bestFit="1" customWidth="1"/>
    <col min="406" max="406" width="46.07421875" bestFit="1" customWidth="1"/>
    <col min="407" max="407" width="17.61328125" bestFit="1" customWidth="1"/>
    <col min="408" max="408" width="13.921875" customWidth="1"/>
    <col min="409" max="409" width="12.84375" bestFit="1" customWidth="1"/>
    <col min="410" max="410" width="24.15234375" bestFit="1" customWidth="1"/>
    <col min="411" max="411" width="17.84375" bestFit="1" customWidth="1"/>
    <col min="412" max="412" width="24.15234375" bestFit="1" customWidth="1"/>
    <col min="413" max="413" width="23.07421875" bestFit="1" customWidth="1"/>
    <col min="414" max="414" width="28" bestFit="1" customWidth="1"/>
    <col min="415" max="415" width="55.84375" bestFit="1" customWidth="1"/>
    <col min="416" max="416" width="32.61328125" bestFit="1" customWidth="1"/>
    <col min="417" max="417" width="30.61328125" bestFit="1" customWidth="1"/>
    <col min="418" max="418" width="30.15234375" bestFit="1" customWidth="1"/>
    <col min="419" max="419" width="26.921875" bestFit="1" customWidth="1"/>
    <col min="420" max="420" width="33.15234375" bestFit="1" customWidth="1"/>
    <col min="421" max="421" width="50.84375" bestFit="1" customWidth="1"/>
    <col min="422" max="422" width="39.921875" bestFit="1" customWidth="1"/>
    <col min="423" max="423" width="28.4609375" bestFit="1" customWidth="1"/>
    <col min="424" max="424" width="23.921875" bestFit="1" customWidth="1"/>
    <col min="425" max="425" width="41.61328125" bestFit="1" customWidth="1"/>
    <col min="426" max="426" width="54.53515625" bestFit="1" customWidth="1"/>
    <col min="427" max="427" width="71" bestFit="1" customWidth="1"/>
    <col min="428" max="428" width="47.84375" bestFit="1" customWidth="1"/>
    <col min="429" max="429" width="44.921875" bestFit="1" customWidth="1"/>
    <col min="430" max="430" width="24" bestFit="1" customWidth="1"/>
    <col min="431" max="431" width="38.4609375" bestFit="1" customWidth="1"/>
    <col min="432" max="432" width="28.53515625" bestFit="1" customWidth="1"/>
    <col min="433" max="433" width="43.07421875" bestFit="1" customWidth="1"/>
    <col min="434" max="434" width="29" bestFit="1" customWidth="1"/>
    <col min="435" max="435" width="25.84375" bestFit="1" customWidth="1"/>
    <col min="436" max="436" width="32.07421875" bestFit="1" customWidth="1"/>
    <col min="437" max="437" width="55.15234375" bestFit="1" customWidth="1"/>
    <col min="438" max="438" width="38.84375" bestFit="1" customWidth="1"/>
    <col min="439" max="439" width="22.53515625" bestFit="1" customWidth="1"/>
    <col min="440" max="440" width="37.84375" bestFit="1" customWidth="1"/>
    <col min="441" max="441" width="27.15234375" bestFit="1" customWidth="1"/>
    <col min="442" max="442" width="37.3828125" bestFit="1" customWidth="1"/>
    <col min="443" max="443" width="48.15234375" bestFit="1" customWidth="1"/>
    <col min="444" max="444" width="24.4609375" bestFit="1" customWidth="1"/>
    <col min="445" max="445" width="37.15234375" bestFit="1" customWidth="1"/>
    <col min="446" max="446" width="21.15234375" bestFit="1" customWidth="1"/>
    <col min="447" max="447" width="25.84375" bestFit="1" customWidth="1"/>
    <col min="448" max="448" width="30.53515625" bestFit="1" customWidth="1"/>
    <col min="449" max="449" width="27.84375" bestFit="1" customWidth="1"/>
    <col min="450" max="450" width="24.53515625" bestFit="1" customWidth="1"/>
    <col min="451" max="451" width="21.15234375" bestFit="1" customWidth="1"/>
    <col min="452" max="452" width="27.53515625" bestFit="1" customWidth="1"/>
    <col min="453" max="453" width="50.84375" bestFit="1" customWidth="1"/>
    <col min="454" max="454" width="34.15234375" bestFit="1" customWidth="1"/>
    <col min="455" max="455" width="28.84375" bestFit="1" customWidth="1"/>
    <col min="456" max="456" width="22.4609375" bestFit="1" customWidth="1"/>
    <col min="457" max="457" width="18.07421875" bestFit="1" customWidth="1"/>
    <col min="458" max="458" width="33.3828125" bestFit="1" customWidth="1"/>
    <col min="459" max="459" width="22.61328125" bestFit="1" customWidth="1"/>
    <col min="460" max="460" width="32.921875" bestFit="1" customWidth="1"/>
    <col min="461" max="461" width="30.15234375" bestFit="1" customWidth="1"/>
    <col min="462" max="462" width="27" bestFit="1" customWidth="1"/>
    <col min="463" max="463" width="33.15234375" bestFit="1" customWidth="1"/>
    <col min="464" max="464" width="56.53515625" bestFit="1" customWidth="1"/>
    <col min="465" max="465" width="40" bestFit="1" customWidth="1"/>
    <col min="466" max="466" width="7.07421875" bestFit="1" customWidth="1"/>
    <col min="467" max="467" width="28.15234375" bestFit="1" customWidth="1"/>
    <col min="468" max="468" width="13.3828125" bestFit="1" customWidth="1"/>
    <col min="469" max="469" width="15.84375" bestFit="1" customWidth="1"/>
    <col min="470" max="470" width="28.07421875" bestFit="1" customWidth="1"/>
    <col min="471" max="471" width="27.4609375" bestFit="1" customWidth="1"/>
    <col min="472" max="472" width="17.84375" bestFit="1" customWidth="1"/>
    <col min="473" max="473" width="24.07421875" bestFit="1" customWidth="1"/>
    <col min="474" max="474" width="25.61328125" bestFit="1" customWidth="1"/>
    <col min="475" max="475" width="48" bestFit="1" customWidth="1"/>
    <col min="476" max="476" width="13.61328125" bestFit="1" customWidth="1"/>
    <col min="477" max="477" width="13.3828125" bestFit="1" customWidth="1"/>
    <col min="478" max="478" width="24.84375" bestFit="1" customWidth="1"/>
    <col min="479" max="479" width="18.53515625" bestFit="1" customWidth="1"/>
    <col min="480" max="480" width="48.07421875" bestFit="1" customWidth="1"/>
    <col min="481" max="481" width="31.53515625" bestFit="1" customWidth="1"/>
    <col min="482" max="482" width="16.4609375" bestFit="1" customWidth="1"/>
    <col min="483" max="483" width="19.15234375" bestFit="1" customWidth="1"/>
    <col min="484" max="484" width="21.84375" bestFit="1" customWidth="1"/>
    <col min="485" max="485" width="21" bestFit="1" customWidth="1"/>
    <col min="486" max="486" width="28.61328125" bestFit="1" customWidth="1"/>
    <col min="487" max="487" width="33.07421875" bestFit="1" customWidth="1"/>
    <col min="488" max="488" width="25.84375" bestFit="1" customWidth="1"/>
    <col min="489" max="489" width="16.84375" bestFit="1" customWidth="1"/>
    <col min="490" max="490" width="18.15234375" bestFit="1" customWidth="1"/>
    <col min="491" max="491" width="14.15234375" bestFit="1" customWidth="1"/>
    <col min="492" max="492" width="24.53515625" bestFit="1" customWidth="1"/>
    <col min="493" max="493" width="16.84375" bestFit="1" customWidth="1"/>
    <col min="494" max="494" width="29.53515625" bestFit="1" customWidth="1"/>
    <col min="495" max="495" width="31.3828125" bestFit="1" customWidth="1"/>
    <col min="496" max="496" width="35" bestFit="1" customWidth="1"/>
    <col min="497" max="497" width="26.07421875" bestFit="1" customWidth="1"/>
    <col min="498" max="498" width="38.07421875" bestFit="1" customWidth="1"/>
    <col min="499" max="499" width="45.84375" bestFit="1" customWidth="1"/>
    <col min="500" max="500" width="23.61328125" bestFit="1" customWidth="1"/>
    <col min="501" max="501" width="21.4609375" bestFit="1" customWidth="1"/>
    <col min="502" max="502" width="28.61328125" bestFit="1" customWidth="1"/>
    <col min="503" max="503" width="15.4609375" bestFit="1" customWidth="1"/>
    <col min="504" max="504" width="18.15234375" bestFit="1" customWidth="1"/>
    <col min="505" max="505" width="22.84375" bestFit="1" customWidth="1"/>
    <col min="506" max="506" width="23" bestFit="1" customWidth="1"/>
    <col min="507" max="507" width="27.84375" bestFit="1" customWidth="1"/>
    <col min="508" max="508" width="33.53515625" bestFit="1" customWidth="1"/>
    <col min="509" max="509" width="41.4609375" bestFit="1" customWidth="1"/>
    <col min="510" max="510" width="51.84375" bestFit="1" customWidth="1"/>
    <col min="511" max="511" width="49.15234375" bestFit="1" customWidth="1"/>
    <col min="512" max="512" width="39.07421875" bestFit="1" customWidth="1"/>
    <col min="513" max="513" width="35" bestFit="1" customWidth="1"/>
    <col min="514" max="514" width="32.15234375" bestFit="1" customWidth="1"/>
    <col min="515" max="515" width="49.4609375" bestFit="1" customWidth="1"/>
    <col min="516" max="516" width="34.3828125" bestFit="1" customWidth="1"/>
    <col min="517" max="517" width="24.15234375" bestFit="1" customWidth="1"/>
    <col min="518" max="518" width="30.921875" bestFit="1" customWidth="1"/>
    <col min="519" max="519" width="27.84375" bestFit="1" customWidth="1"/>
    <col min="520" max="520" width="37.15234375" bestFit="1" customWidth="1"/>
    <col min="521" max="521" width="25.84375" bestFit="1" customWidth="1"/>
    <col min="522" max="522" width="40.61328125" bestFit="1" customWidth="1"/>
    <col min="523" max="523" width="26" bestFit="1" customWidth="1"/>
    <col min="524" max="525" width="41.53515625" bestFit="1" customWidth="1"/>
    <col min="526" max="526" width="25.921875" bestFit="1" customWidth="1"/>
    <col min="527" max="527" width="37.84375" bestFit="1" customWidth="1"/>
    <col min="528" max="528" width="33.15234375" bestFit="1" customWidth="1"/>
    <col min="529" max="529" width="23.07421875" bestFit="1" customWidth="1"/>
    <col min="530" max="530" width="20" bestFit="1" customWidth="1"/>
    <col min="531" max="531" width="32.15234375" bestFit="1" customWidth="1"/>
    <col min="532" max="533" width="31.3828125" bestFit="1" customWidth="1"/>
    <col min="534" max="534" width="21" bestFit="1" customWidth="1"/>
    <col min="535" max="535" width="35.15234375" bestFit="1" customWidth="1"/>
    <col min="536" max="536" width="35.84375" bestFit="1" customWidth="1"/>
    <col min="537" max="537" width="33.07421875" bestFit="1" customWidth="1"/>
    <col min="538" max="538" width="29.921875" bestFit="1" customWidth="1"/>
    <col min="539" max="539" width="27.15234375" bestFit="1" customWidth="1"/>
    <col min="540" max="540" width="32.61328125" bestFit="1" customWidth="1"/>
    <col min="541" max="542" width="43" bestFit="1" customWidth="1"/>
    <col min="543" max="543" width="27.921875" bestFit="1" customWidth="1"/>
    <col min="544" max="544" width="27.15234375" bestFit="1" customWidth="1"/>
    <col min="545" max="545" width="34.921875" bestFit="1" customWidth="1"/>
    <col min="546" max="546" width="34.15234375" bestFit="1" customWidth="1"/>
    <col min="547" max="547" width="40.53515625" bestFit="1" customWidth="1"/>
    <col min="548" max="548" width="39.84375" bestFit="1" customWidth="1"/>
    <col min="549" max="549" width="37.3828125" bestFit="1" customWidth="1"/>
    <col min="550" max="550" width="53.15234375" bestFit="1" customWidth="1"/>
    <col min="551" max="551" width="29.15234375" bestFit="1" customWidth="1"/>
    <col min="552" max="552" width="63.84375" bestFit="1" customWidth="1"/>
    <col min="553" max="553" width="44.53515625" bestFit="1" customWidth="1"/>
    <col min="554" max="554" width="31" bestFit="1" customWidth="1"/>
    <col min="555" max="555" width="25.61328125" bestFit="1" customWidth="1"/>
    <col min="556" max="556" width="19.53515625" bestFit="1" customWidth="1"/>
    <col min="557" max="557" width="28.3828125" bestFit="1" customWidth="1"/>
    <col min="558" max="558" width="21.4609375" bestFit="1" customWidth="1"/>
    <col min="559" max="559" width="25.84375" bestFit="1" customWidth="1"/>
    <col min="560" max="560" width="26.84375" bestFit="1" customWidth="1"/>
    <col min="561" max="561" width="25.15234375" bestFit="1" customWidth="1"/>
    <col min="562" max="562" width="48.921875" bestFit="1" customWidth="1"/>
    <col min="563" max="563" width="41.921875" bestFit="1" customWidth="1"/>
    <col min="564" max="564" width="37.4609375" bestFit="1" customWidth="1"/>
    <col min="565" max="565" width="36.53515625" bestFit="1" customWidth="1"/>
    <col min="566" max="566" width="31.15234375" bestFit="1" customWidth="1"/>
    <col min="567" max="567" width="28.84375" bestFit="1" customWidth="1"/>
    <col min="568" max="568" width="40.4609375" bestFit="1" customWidth="1"/>
    <col min="569" max="569" width="25.15234375" bestFit="1" customWidth="1"/>
    <col min="570" max="570" width="25.84375" bestFit="1" customWidth="1"/>
    <col min="571" max="571" width="41.3828125" bestFit="1" customWidth="1"/>
    <col min="572" max="572" width="45.921875" bestFit="1" customWidth="1"/>
    <col min="573" max="573" width="51" bestFit="1" customWidth="1"/>
    <col min="574" max="574" width="46.4609375" bestFit="1" customWidth="1"/>
    <col min="575" max="575" width="24.15234375" bestFit="1" customWidth="1"/>
    <col min="576" max="576" width="26.61328125" bestFit="1" customWidth="1"/>
    <col min="577" max="577" width="32" bestFit="1" customWidth="1"/>
    <col min="578" max="578" width="32.921875" bestFit="1" customWidth="1"/>
    <col min="579" max="579" width="27.921875" bestFit="1" customWidth="1"/>
    <col min="580" max="580" width="44.3828125" bestFit="1" customWidth="1"/>
    <col min="581" max="581" width="20.61328125" bestFit="1" customWidth="1"/>
    <col min="582" max="582" width="22.15234375" bestFit="1" customWidth="1"/>
    <col min="583" max="583" width="21.15234375" bestFit="1" customWidth="1"/>
    <col min="584" max="584" width="16.921875" bestFit="1" customWidth="1"/>
    <col min="585" max="585" width="23.84375" bestFit="1" customWidth="1"/>
    <col min="586" max="586" width="14.921875" bestFit="1" customWidth="1"/>
    <col min="587" max="587" width="21.07421875" bestFit="1" customWidth="1"/>
    <col min="588" max="588" width="26.4609375" bestFit="1" customWidth="1"/>
    <col min="589" max="589" width="40" bestFit="1" customWidth="1"/>
    <col min="590" max="590" width="59.15234375" bestFit="1" customWidth="1"/>
    <col min="591" max="591" width="24.84375" bestFit="1" customWidth="1"/>
    <col min="592" max="592" width="48.84375" bestFit="1" customWidth="1"/>
    <col min="593" max="593" width="32.84375" bestFit="1" customWidth="1"/>
    <col min="594" max="594" width="35.15234375" bestFit="1" customWidth="1"/>
    <col min="595" max="595" width="36" bestFit="1" customWidth="1"/>
    <col min="596" max="596" width="29.61328125" bestFit="1" customWidth="1"/>
    <col min="597" max="597" width="30.3828125" bestFit="1" customWidth="1"/>
    <col min="598" max="598" width="22.84375" bestFit="1" customWidth="1"/>
    <col min="599" max="599" width="28.53515625" bestFit="1" customWidth="1"/>
    <col min="600" max="600" width="30.4609375" bestFit="1" customWidth="1"/>
    <col min="601" max="601" width="27" bestFit="1" customWidth="1"/>
    <col min="602" max="602" width="16.4609375" bestFit="1" customWidth="1"/>
    <col min="603" max="603" width="15.921875" bestFit="1" customWidth="1"/>
    <col min="604" max="604" width="39.53515625" bestFit="1" customWidth="1"/>
    <col min="605" max="605" width="29.3828125" bestFit="1" customWidth="1"/>
    <col min="606" max="606" width="42.53515625" bestFit="1" customWidth="1"/>
    <col min="607" max="607" width="39.3828125" bestFit="1" customWidth="1"/>
    <col min="608" max="608" width="17.4609375" bestFit="1" customWidth="1"/>
    <col min="609" max="609" width="33.15234375" bestFit="1" customWidth="1"/>
    <col min="610" max="610" width="21.921875" bestFit="1" customWidth="1"/>
    <col min="611" max="611" width="28.15234375" bestFit="1" customWidth="1"/>
    <col min="612" max="612" width="19.4609375" bestFit="1" customWidth="1"/>
    <col min="613" max="613" width="18.84375" bestFit="1" customWidth="1"/>
    <col min="614" max="614" width="21.15234375" bestFit="1" customWidth="1"/>
    <col min="615" max="615" width="16.61328125" bestFit="1" customWidth="1"/>
    <col min="616" max="616" width="45.84375" bestFit="1" customWidth="1"/>
    <col min="617" max="617" width="24.921875" bestFit="1" customWidth="1"/>
    <col min="618" max="618" width="21.07421875" bestFit="1" customWidth="1"/>
    <col min="619" max="619" width="24.61328125" bestFit="1" customWidth="1"/>
    <col min="620" max="620" width="28.84375" bestFit="1" customWidth="1"/>
    <col min="621" max="621" width="28" bestFit="1" customWidth="1"/>
    <col min="622" max="622" width="34.15234375" bestFit="1" customWidth="1"/>
    <col min="623" max="623" width="33.53515625" bestFit="1" customWidth="1"/>
    <col min="624" max="624" width="31.07421875" bestFit="1" customWidth="1"/>
    <col min="625" max="625" width="47" bestFit="1" customWidth="1"/>
    <col min="626" max="626" width="33.84375" bestFit="1" customWidth="1"/>
    <col min="627" max="627" width="20.4609375" bestFit="1" customWidth="1"/>
    <col min="628" max="628" width="25.921875" bestFit="1" customWidth="1"/>
    <col min="629" max="629" width="28.15234375" bestFit="1" customWidth="1"/>
    <col min="630" max="630" width="39.15234375" bestFit="1" customWidth="1"/>
    <col min="631" max="631" width="23" bestFit="1" customWidth="1"/>
    <col min="632" max="632" width="30.3828125" bestFit="1" customWidth="1"/>
    <col min="633" max="633" width="29.3828125" bestFit="1" customWidth="1"/>
    <col min="634" max="634" width="22" bestFit="1" customWidth="1"/>
    <col min="635" max="635" width="20.921875" bestFit="1" customWidth="1"/>
    <col min="636" max="636" width="30.4609375" bestFit="1" customWidth="1"/>
    <col min="637" max="637" width="28.07421875" bestFit="1" customWidth="1"/>
    <col min="638" max="638" width="27" bestFit="1" customWidth="1"/>
    <col min="639" max="639" width="26.4609375" bestFit="1" customWidth="1"/>
    <col min="640" max="640" width="22.61328125" bestFit="1" customWidth="1"/>
    <col min="641" max="641" width="22.53515625" bestFit="1" customWidth="1"/>
    <col min="642" max="642" width="18.921875" bestFit="1" customWidth="1"/>
    <col min="643" max="643" width="34.3828125" bestFit="1" customWidth="1"/>
    <col min="644" max="644" width="18.84375" bestFit="1" customWidth="1"/>
    <col min="645" max="645" width="26.61328125" bestFit="1" customWidth="1"/>
    <col min="646" max="646" width="26" bestFit="1" customWidth="1"/>
    <col min="647" max="647" width="20.84375" bestFit="1" customWidth="1"/>
    <col min="648" max="648" width="19" bestFit="1" customWidth="1"/>
    <col min="649" max="649" width="29.15234375" bestFit="1" customWidth="1"/>
    <col min="650" max="650" width="38.15234375" bestFit="1" customWidth="1"/>
    <col min="651" max="651" width="13.15234375" bestFit="1" customWidth="1"/>
    <col min="652" max="652" width="22.07421875" bestFit="1" customWidth="1"/>
    <col min="653" max="653" width="15.15234375" bestFit="1" customWidth="1"/>
    <col min="654" max="654" width="33.3828125" bestFit="1" customWidth="1"/>
    <col min="655" max="655" width="57.61328125" bestFit="1" customWidth="1"/>
    <col min="656" max="656" width="24.84375" bestFit="1" customWidth="1"/>
    <col min="657" max="657" width="19.4609375" bestFit="1" customWidth="1"/>
    <col min="658" max="658" width="29.15234375" bestFit="1" customWidth="1"/>
    <col min="659" max="659" width="15.15234375" bestFit="1" customWidth="1"/>
    <col min="660" max="660" width="24.53515625" bestFit="1" customWidth="1"/>
    <col min="661" max="661" width="12.53515625" bestFit="1" customWidth="1"/>
    <col min="662" max="662" width="28" bestFit="1" customWidth="1"/>
    <col min="663" max="663" width="19.15234375" bestFit="1" customWidth="1"/>
    <col min="664" max="664" width="16.07421875" bestFit="1" customWidth="1"/>
    <col min="665" max="665" width="17.53515625" bestFit="1" customWidth="1"/>
    <col min="666" max="666" width="23.921875" bestFit="1" customWidth="1"/>
    <col min="667" max="667" width="34.84375" bestFit="1" customWidth="1"/>
    <col min="668" max="668" width="37.84375" bestFit="1" customWidth="1"/>
    <col min="669" max="669" width="33.07421875" bestFit="1" customWidth="1"/>
    <col min="670" max="670" width="28" bestFit="1" customWidth="1"/>
    <col min="671" max="671" width="31.84375" bestFit="1" customWidth="1"/>
    <col min="672" max="672" width="16.61328125" bestFit="1" customWidth="1"/>
    <col min="673" max="673" width="21.84375" bestFit="1" customWidth="1"/>
    <col min="674" max="674" width="13" bestFit="1" customWidth="1"/>
    <col min="675" max="675" width="18.15234375" bestFit="1" customWidth="1"/>
    <col min="676" max="676" width="45.53515625" bestFit="1" customWidth="1"/>
    <col min="677" max="677" width="16.84375" bestFit="1" customWidth="1"/>
    <col min="678" max="678" width="29.3828125" bestFit="1" customWidth="1"/>
    <col min="679" max="679" width="31" bestFit="1" customWidth="1"/>
    <col min="680" max="680" width="26.15234375" bestFit="1" customWidth="1"/>
    <col min="681" max="681" width="47.61328125" bestFit="1" customWidth="1"/>
    <col min="682" max="682" width="13.61328125" bestFit="1" customWidth="1"/>
    <col min="683" max="683" width="27.61328125" bestFit="1" customWidth="1"/>
    <col min="684" max="684" width="25.4609375" bestFit="1" customWidth="1"/>
    <col min="685" max="685" width="21" bestFit="1" customWidth="1"/>
    <col min="686" max="686" width="27.4609375" bestFit="1" customWidth="1"/>
    <col min="687" max="687" width="25.61328125" bestFit="1" customWidth="1"/>
    <col min="688" max="688" width="48" bestFit="1" customWidth="1"/>
    <col min="689" max="689" width="13.61328125" bestFit="1" customWidth="1"/>
    <col min="690" max="690" width="13.15234375" bestFit="1" customWidth="1"/>
    <col min="691" max="691" width="33.07421875" bestFit="1" customWidth="1"/>
    <col min="692" max="692" width="25.84375" bestFit="1" customWidth="1"/>
    <col min="693" max="693" width="16.84375" bestFit="1" customWidth="1"/>
    <col min="694" max="694" width="18.15234375" bestFit="1" customWidth="1"/>
    <col min="695" max="695" width="16.61328125" bestFit="1" customWidth="1"/>
    <col min="696" max="696" width="29.4609375" bestFit="1" customWidth="1"/>
    <col min="697" max="697" width="31.15234375" bestFit="1" customWidth="1"/>
    <col min="698" max="698" width="35" bestFit="1" customWidth="1"/>
    <col min="699" max="699" width="38.07421875" bestFit="1" customWidth="1"/>
    <col min="700" max="700" width="45.84375" bestFit="1" customWidth="1"/>
    <col min="701" max="701" width="21.15234375" bestFit="1" customWidth="1"/>
    <col min="702" max="702" width="28.61328125" bestFit="1" customWidth="1"/>
    <col min="703" max="703" width="14.84375" bestFit="1" customWidth="1"/>
    <col min="704" max="704" width="23.921875" bestFit="1" customWidth="1"/>
    <col min="705" max="705" width="12.07421875" bestFit="1" customWidth="1"/>
    <col min="706" max="706" width="27.15234375" bestFit="1" customWidth="1"/>
    <col min="707" max="707" width="18.61328125" bestFit="1" customWidth="1"/>
    <col min="708" max="708" width="15.53515625" bestFit="1" customWidth="1"/>
    <col min="709" max="709" width="16.84375" bestFit="1" customWidth="1"/>
    <col min="710" max="710" width="23.07421875" bestFit="1" customWidth="1"/>
    <col min="711" max="711" width="33.53515625" bestFit="1" customWidth="1"/>
    <col min="712" max="712" width="36.4609375" bestFit="1" customWidth="1"/>
    <col min="713" max="713" width="32.07421875" bestFit="1" customWidth="1"/>
    <col min="714" max="714" width="26.921875" bestFit="1" customWidth="1"/>
    <col min="715" max="715" width="30.61328125" bestFit="1" customWidth="1"/>
    <col min="716" max="716" width="16.07421875" bestFit="1" customWidth="1"/>
    <col min="717" max="717" width="21.07421875" bestFit="1" customWidth="1"/>
    <col min="718" max="718" width="12.53515625" bestFit="1" customWidth="1"/>
    <col min="719" max="719" width="17.61328125" bestFit="1" customWidth="1"/>
    <col min="720" max="720" width="44.07421875" bestFit="1" customWidth="1"/>
    <col min="721" max="721" width="16.3828125" bestFit="1" customWidth="1"/>
    <col min="722" max="722" width="28.3828125" bestFit="1" customWidth="1"/>
    <col min="723" max="723" width="30.07421875" bestFit="1" customWidth="1"/>
    <col min="724" max="724" width="25.3828125" bestFit="1" customWidth="1"/>
    <col min="725" max="725" width="46.07421875" bestFit="1" customWidth="1"/>
    <col min="726" max="726" width="13.3828125" bestFit="1" customWidth="1"/>
    <col min="727" max="727" width="26.84375" bestFit="1" customWidth="1"/>
    <col min="728" max="728" width="24.61328125" bestFit="1" customWidth="1"/>
    <col min="729" max="729" width="20.07421875" bestFit="1" customWidth="1"/>
    <col min="730" max="730" width="26.61328125" bestFit="1" customWidth="1"/>
    <col min="731" max="731" width="25" bestFit="1" customWidth="1"/>
    <col min="732" max="732" width="46.53515625" bestFit="1" customWidth="1"/>
    <col min="733" max="733" width="13.3828125" bestFit="1" customWidth="1"/>
    <col min="734" max="734" width="13" bestFit="1" customWidth="1"/>
    <col min="735" max="735" width="32.07421875" bestFit="1" customWidth="1"/>
    <col min="736" max="736" width="25.07421875" bestFit="1" customWidth="1"/>
    <col min="737" max="737" width="16.3828125" bestFit="1" customWidth="1"/>
    <col min="738" max="738" width="17.61328125" bestFit="1" customWidth="1"/>
    <col min="739" max="739" width="16.07421875" bestFit="1" customWidth="1"/>
    <col min="740" max="740" width="28.61328125" bestFit="1" customWidth="1"/>
    <col min="741" max="741" width="30.53515625" bestFit="1" customWidth="1"/>
    <col min="742" max="742" width="34" bestFit="1" customWidth="1"/>
    <col min="743" max="743" width="36.921875" bestFit="1" customWidth="1"/>
    <col min="744" max="744" width="44.61328125" bestFit="1" customWidth="1"/>
    <col min="745" max="745" width="20.84375" bestFit="1" customWidth="1"/>
    <col min="746" max="746" width="26.15234375" bestFit="1" customWidth="1"/>
    <col min="747" max="747" width="13.4609375" bestFit="1" customWidth="1"/>
    <col min="748" max="748" width="15.3828125" bestFit="1" customWidth="1"/>
    <col min="749" max="749" width="16.3828125" bestFit="1" customWidth="1"/>
    <col min="750" max="750" width="13" bestFit="1" customWidth="1"/>
    <col min="751" max="751" width="28.07421875" bestFit="1" customWidth="1"/>
    <col min="752" max="752" width="24.3828125" bestFit="1" customWidth="1"/>
    <col min="753" max="753" width="19.84375" bestFit="1" customWidth="1"/>
    <col min="754" max="754" width="27.3828125" bestFit="1" customWidth="1"/>
    <col min="755" max="755" width="22.07421875" bestFit="1" customWidth="1"/>
    <col min="756" max="756" width="19.4609375" bestFit="1" customWidth="1"/>
    <col min="757" max="757" width="34.61328125" bestFit="1" customWidth="1"/>
    <col min="758" max="758" width="19.4609375" bestFit="1" customWidth="1"/>
    <col min="759" max="759" width="21.53515625" bestFit="1" customWidth="1"/>
    <col min="760" max="760" width="29" bestFit="1" customWidth="1"/>
    <col min="761" max="761" width="25.61328125" bestFit="1" customWidth="1"/>
    <col min="762" max="762" width="35.61328125" bestFit="1" customWidth="1"/>
    <col min="763" max="763" width="26.84375" bestFit="1" customWidth="1"/>
    <col min="764" max="764" width="19.07421875" bestFit="1" customWidth="1"/>
    <col min="765" max="765" width="16" bestFit="1" customWidth="1"/>
    <col min="766" max="766" width="17.3828125" bestFit="1" customWidth="1"/>
    <col min="767" max="767" width="23.61328125" bestFit="1" customWidth="1"/>
    <col min="768" max="768" width="26.61328125" bestFit="1" customWidth="1"/>
    <col min="769" max="769" width="25" bestFit="1" customWidth="1"/>
    <col min="770" max="770" width="46.53515625" bestFit="1" customWidth="1"/>
    <col min="771" max="771" width="13.3828125" bestFit="1" customWidth="1"/>
    <col min="772" max="772" width="13" bestFit="1" customWidth="1"/>
    <col min="773" max="773" width="32.07421875" bestFit="1" customWidth="1"/>
    <col min="774" max="774" width="25.07421875" bestFit="1" customWidth="1"/>
    <col min="775" max="775" width="16.3828125" bestFit="1" customWidth="1"/>
    <col min="776" max="776" width="17.61328125" bestFit="1" customWidth="1"/>
    <col min="777" max="777" width="16.07421875" bestFit="1" customWidth="1"/>
    <col min="778" max="778" width="28.61328125" bestFit="1" customWidth="1"/>
    <col min="779" max="779" width="30.53515625" bestFit="1" customWidth="1"/>
    <col min="780" max="780" width="34" bestFit="1" customWidth="1"/>
    <col min="781" max="781" width="36.921875" bestFit="1" customWidth="1"/>
    <col min="782" max="782" width="44.61328125" bestFit="1" customWidth="1"/>
    <col min="783" max="783" width="20.84375" bestFit="1" customWidth="1"/>
    <col min="784" max="784" width="26.84375" bestFit="1" customWidth="1"/>
    <col min="785" max="785" width="21.15234375" bestFit="1" customWidth="1"/>
    <col min="786" max="786" width="26.84375" bestFit="1" customWidth="1"/>
    <col min="787" max="787" width="19.07421875" bestFit="1" customWidth="1"/>
    <col min="788" max="788" width="16" bestFit="1" customWidth="1"/>
    <col min="789" max="789" width="17.3828125" bestFit="1" customWidth="1"/>
    <col min="790" max="790" width="23.61328125" bestFit="1" customWidth="1"/>
    <col min="791" max="791" width="26.61328125" bestFit="1" customWidth="1"/>
    <col min="792" max="792" width="25" bestFit="1" customWidth="1"/>
    <col min="793" max="793" width="46.53515625" bestFit="1" customWidth="1"/>
    <col min="794" max="794" width="13.3828125" bestFit="1" customWidth="1"/>
    <col min="795" max="795" width="13" bestFit="1" customWidth="1"/>
    <col min="796" max="796" width="32.07421875" bestFit="1" customWidth="1"/>
    <col min="797" max="797" width="25.07421875" bestFit="1" customWidth="1"/>
    <col min="798" max="798" width="16.3828125" bestFit="1" customWidth="1"/>
    <col min="799" max="799" width="17.61328125" bestFit="1" customWidth="1"/>
    <col min="800" max="800" width="16.07421875" bestFit="1" customWidth="1"/>
    <col min="801" max="801" width="28.61328125" bestFit="1" customWidth="1"/>
    <col min="802" max="802" width="30.53515625" bestFit="1" customWidth="1"/>
    <col min="803" max="803" width="34" bestFit="1" customWidth="1"/>
    <col min="804" max="804" width="36.921875" bestFit="1" customWidth="1"/>
    <col min="805" max="805" width="44.61328125" bestFit="1" customWidth="1"/>
    <col min="806" max="806" width="20.84375" bestFit="1" customWidth="1"/>
    <col min="807" max="808" width="26.84375" bestFit="1" customWidth="1"/>
    <col min="809" max="809" width="19.07421875" bestFit="1" customWidth="1"/>
    <col min="810" max="810" width="16" bestFit="1" customWidth="1"/>
    <col min="811" max="811" width="17.3828125" bestFit="1" customWidth="1"/>
    <col min="812" max="812" width="23.61328125" bestFit="1" customWidth="1"/>
    <col min="813" max="813" width="26.61328125" bestFit="1" customWidth="1"/>
    <col min="814" max="814" width="25" bestFit="1" customWidth="1"/>
    <col min="815" max="815" width="46.53515625" bestFit="1" customWidth="1"/>
    <col min="816" max="816" width="13.3828125" bestFit="1" customWidth="1"/>
    <col min="817" max="817" width="13" bestFit="1" customWidth="1"/>
    <col min="818" max="818" width="32.07421875" bestFit="1" customWidth="1"/>
    <col min="819" max="819" width="25.07421875" bestFit="1" customWidth="1"/>
    <col min="820" max="820" width="16.3828125" bestFit="1" customWidth="1"/>
    <col min="821" max="821" width="17.61328125" bestFit="1" customWidth="1"/>
    <col min="822" max="822" width="16.07421875" bestFit="1" customWidth="1"/>
    <col min="823" max="823" width="28.61328125" bestFit="1" customWidth="1"/>
    <col min="824" max="824" width="30.53515625" bestFit="1" customWidth="1"/>
    <col min="825" max="825" width="34" bestFit="1" customWidth="1"/>
    <col min="826" max="826" width="36.921875" bestFit="1" customWidth="1"/>
    <col min="827" max="827" width="44.61328125" bestFit="1" customWidth="1"/>
    <col min="828" max="828" width="20.84375" bestFit="1" customWidth="1"/>
    <col min="829" max="829" width="29.84375" bestFit="1" customWidth="1"/>
    <col min="830" max="830" width="7.07421875" bestFit="1" customWidth="1"/>
    <col min="831" max="831" width="21.61328125" bestFit="1" customWidth="1"/>
    <col min="832" max="832" width="28.3828125" bestFit="1" customWidth="1"/>
    <col min="833" max="833" width="24.921875" bestFit="1" customWidth="1"/>
    <col min="834" max="834" width="30" bestFit="1" customWidth="1"/>
    <col min="835" max="835" width="18.84375" bestFit="1" customWidth="1"/>
    <col min="836" max="836" width="22.07421875" bestFit="1" customWidth="1"/>
    <col min="837" max="837" width="10.3828125" bestFit="1" customWidth="1"/>
    <col min="838" max="838" width="26.84375" bestFit="1" customWidth="1"/>
    <col min="839" max="839" width="19.07421875" bestFit="1" customWidth="1"/>
    <col min="840" max="840" width="16" bestFit="1" customWidth="1"/>
    <col min="841" max="841" width="17.3828125" bestFit="1" customWidth="1"/>
    <col min="842" max="842" width="23.61328125" bestFit="1" customWidth="1"/>
    <col min="843" max="843" width="26.61328125" bestFit="1" customWidth="1"/>
    <col min="844" max="844" width="25" bestFit="1" customWidth="1"/>
    <col min="845" max="845" width="46.53515625" bestFit="1" customWidth="1"/>
    <col min="846" max="846" width="13.3828125" bestFit="1" customWidth="1"/>
    <col min="847" max="847" width="13" bestFit="1" customWidth="1"/>
    <col min="848" max="848" width="32.07421875" bestFit="1" customWidth="1"/>
    <col min="849" max="849" width="25.07421875" bestFit="1" customWidth="1"/>
    <col min="850" max="850" width="16.3828125" bestFit="1" customWidth="1"/>
    <col min="851" max="851" width="17.61328125" bestFit="1" customWidth="1"/>
    <col min="852" max="852" width="16.07421875" bestFit="1" customWidth="1"/>
    <col min="853" max="853" width="28.61328125" bestFit="1" customWidth="1"/>
    <col min="854" max="854" width="30.53515625" bestFit="1" customWidth="1"/>
    <col min="855" max="855" width="34" bestFit="1" customWidth="1"/>
    <col min="856" max="856" width="36.921875" bestFit="1" customWidth="1"/>
    <col min="857" max="857" width="44.61328125" bestFit="1" customWidth="1"/>
    <col min="858" max="858" width="20.84375" bestFit="1" customWidth="1"/>
    <col min="859" max="859" width="33.53515625" bestFit="1" customWidth="1"/>
    <col min="860" max="860" width="36.4609375" bestFit="1" customWidth="1"/>
    <col min="861" max="861" width="32.07421875" bestFit="1" customWidth="1"/>
    <col min="862" max="862" width="26.921875" bestFit="1" customWidth="1"/>
    <col min="863" max="863" width="30.61328125" bestFit="1" customWidth="1"/>
    <col min="864" max="864" width="16.07421875" bestFit="1" customWidth="1"/>
    <col min="865" max="865" width="21.07421875" bestFit="1" customWidth="1"/>
    <col min="866" max="866" width="12.53515625" bestFit="1" customWidth="1"/>
    <col min="867" max="867" width="17.61328125" bestFit="1" customWidth="1"/>
    <col min="868" max="868" width="44.07421875" bestFit="1" customWidth="1"/>
    <col min="869" max="869" width="16.3828125" bestFit="1" customWidth="1"/>
    <col min="870" max="870" width="28.3828125" bestFit="1" customWidth="1"/>
    <col min="871" max="871" width="30.07421875" bestFit="1" customWidth="1"/>
    <col min="872" max="872" width="25.3828125" bestFit="1" customWidth="1"/>
    <col min="873" max="873" width="46.07421875" bestFit="1" customWidth="1"/>
    <col min="874" max="874" width="13.3828125" bestFit="1" customWidth="1"/>
    <col min="875" max="875" width="26.84375" bestFit="1" customWidth="1"/>
    <col min="876" max="876" width="24.61328125" bestFit="1" customWidth="1"/>
    <col min="877" max="877" width="20.07421875" bestFit="1" customWidth="1"/>
    <col min="884" max="884" width="35.15234375" customWidth="1"/>
  </cols>
  <sheetData>
    <row r="1" spans="1:9" x14ac:dyDescent="0.4">
      <c r="A1" t="s">
        <v>0</v>
      </c>
      <c r="B1" t="s">
        <v>1</v>
      </c>
      <c r="C1" t="s">
        <v>24</v>
      </c>
      <c r="D1" t="s">
        <v>104</v>
      </c>
      <c r="E1" t="s">
        <v>105</v>
      </c>
      <c r="F1" t="s">
        <v>106</v>
      </c>
      <c r="G1" t="s">
        <v>107</v>
      </c>
      <c r="H1" t="s">
        <v>108</v>
      </c>
      <c r="I1" t="s">
        <v>109</v>
      </c>
    </row>
    <row r="2" spans="1:9" x14ac:dyDescent="0.4">
      <c r="A2" s="1" t="s">
        <v>14</v>
      </c>
      <c r="B2" s="1" t="s">
        <v>15</v>
      </c>
      <c r="C2" s="1"/>
      <c r="D2" s="1"/>
      <c r="E2" s="1"/>
      <c r="F2" s="1"/>
      <c r="G2" s="1"/>
      <c r="H2" s="1"/>
      <c r="I2" s="1"/>
    </row>
    <row r="3" spans="1:9" x14ac:dyDescent="0.4">
      <c r="A3" s="1" t="s">
        <v>8</v>
      </c>
      <c r="B3" s="1" t="s">
        <v>41</v>
      </c>
      <c r="C3" s="1"/>
      <c r="D3" s="1"/>
      <c r="E3" s="1"/>
      <c r="F3" s="1"/>
      <c r="G3" s="1"/>
      <c r="H3" s="1"/>
      <c r="I3" s="1"/>
    </row>
    <row r="4" spans="1:9" x14ac:dyDescent="0.4">
      <c r="A4" s="1" t="s">
        <v>60</v>
      </c>
      <c r="B4" s="1" t="s">
        <v>61</v>
      </c>
      <c r="C4" s="1"/>
      <c r="D4" s="1"/>
      <c r="E4" s="1"/>
      <c r="F4" s="1"/>
      <c r="G4" s="1"/>
      <c r="H4" s="1"/>
      <c r="I4" s="1"/>
    </row>
    <row r="5" spans="1:9" x14ac:dyDescent="0.4">
      <c r="A5" s="1" t="s">
        <v>18</v>
      </c>
      <c r="B5" s="1" t="s">
        <v>19</v>
      </c>
      <c r="C5" s="1"/>
      <c r="D5" s="1" t="s">
        <v>40</v>
      </c>
      <c r="E5" s="1" t="s">
        <v>40</v>
      </c>
      <c r="F5" s="1" t="s">
        <v>40</v>
      </c>
      <c r="G5" s="1" t="s">
        <v>40</v>
      </c>
      <c r="H5" s="1" t="s">
        <v>40</v>
      </c>
      <c r="I5" s="1" t="s">
        <v>40</v>
      </c>
    </row>
    <row r="6" spans="1:9" x14ac:dyDescent="0.4">
      <c r="A6" s="1" t="s">
        <v>21</v>
      </c>
      <c r="B6" s="1" t="s">
        <v>22</v>
      </c>
      <c r="C6" s="1"/>
      <c r="D6" s="1"/>
      <c r="E6" s="1"/>
      <c r="F6" s="1"/>
      <c r="G6" s="1"/>
      <c r="H6" s="1"/>
      <c r="I6" s="1"/>
    </row>
    <row r="7" spans="1:9" x14ac:dyDescent="0.4">
      <c r="A7" s="1" t="s">
        <v>7</v>
      </c>
      <c r="B7" s="1" t="s">
        <v>42</v>
      </c>
      <c r="C7" s="1"/>
      <c r="D7" s="1"/>
      <c r="E7" s="1"/>
      <c r="F7" s="1"/>
      <c r="G7" s="1"/>
      <c r="H7" s="1"/>
      <c r="I7" s="1"/>
    </row>
    <row r="8" spans="1:9" x14ac:dyDescent="0.4">
      <c r="A8" s="1" t="s">
        <v>6</v>
      </c>
      <c r="B8" s="1" t="s">
        <v>43</v>
      </c>
      <c r="C8" s="1"/>
      <c r="D8" s="1"/>
      <c r="E8" s="1"/>
      <c r="F8" s="1"/>
      <c r="G8" s="1"/>
      <c r="H8" s="1"/>
      <c r="I8" s="1"/>
    </row>
    <row r="9" spans="1:9" x14ac:dyDescent="0.4">
      <c r="A9" s="1" t="s">
        <v>62</v>
      </c>
      <c r="B9" s="1" t="s">
        <v>63</v>
      </c>
      <c r="C9" s="1"/>
      <c r="D9" s="1"/>
      <c r="E9" s="1"/>
      <c r="F9" s="1"/>
      <c r="G9" s="1"/>
      <c r="H9" s="1"/>
      <c r="I9" s="1"/>
    </row>
    <row r="10" spans="1:9" x14ac:dyDescent="0.4">
      <c r="A10" s="1" t="s">
        <v>64</v>
      </c>
      <c r="B10" s="1" t="s">
        <v>65</v>
      </c>
      <c r="C10" s="1"/>
      <c r="D10" s="1"/>
      <c r="E10" s="1"/>
      <c r="F10" s="1"/>
      <c r="G10" s="1"/>
      <c r="H10" s="1"/>
      <c r="I10" s="1"/>
    </row>
    <row r="11" spans="1:9" x14ac:dyDescent="0.4">
      <c r="A11" s="1" t="s">
        <v>110</v>
      </c>
      <c r="B11" s="1" t="s">
        <v>111</v>
      </c>
      <c r="C11" s="1"/>
      <c r="D11" s="1" t="s">
        <v>40</v>
      </c>
      <c r="E11" s="1"/>
      <c r="F11" s="1"/>
      <c r="G11" s="1"/>
      <c r="H11" s="1"/>
      <c r="I11" s="1"/>
    </row>
    <row r="12" spans="1:9" x14ac:dyDescent="0.4">
      <c r="A12" s="1" t="s">
        <v>112</v>
      </c>
      <c r="B12" s="1" t="s">
        <v>113</v>
      </c>
      <c r="C12" s="1"/>
      <c r="D12" s="1"/>
      <c r="E12" s="1"/>
      <c r="F12" s="1"/>
      <c r="G12" s="1"/>
      <c r="H12" s="1"/>
      <c r="I12" s="1"/>
    </row>
    <row r="13" spans="1:9" x14ac:dyDescent="0.4">
      <c r="A13" s="1" t="s">
        <v>114</v>
      </c>
      <c r="B13" s="1" t="s">
        <v>115</v>
      </c>
      <c r="C13" s="1"/>
      <c r="D13" s="1" t="s">
        <v>40</v>
      </c>
      <c r="E13" s="1"/>
      <c r="F13" s="1"/>
      <c r="G13" s="1"/>
      <c r="H13" s="1"/>
      <c r="I13" s="1"/>
    </row>
    <row r="14" spans="1:9" x14ac:dyDescent="0.4">
      <c r="A14" s="1" t="s">
        <v>116</v>
      </c>
      <c r="B14" s="1"/>
      <c r="C14" s="1"/>
      <c r="D14" s="1"/>
      <c r="E14" s="1"/>
      <c r="F14" s="1"/>
      <c r="G14" s="1"/>
      <c r="H14" s="1"/>
      <c r="I14" s="1"/>
    </row>
    <row r="15" spans="1:9" x14ac:dyDescent="0.4">
      <c r="A15" s="1" t="s">
        <v>117</v>
      </c>
      <c r="B15" s="1" t="s">
        <v>118</v>
      </c>
      <c r="C15" s="1"/>
      <c r="D15" s="1"/>
      <c r="E15" s="1"/>
      <c r="F15" s="1"/>
      <c r="G15" s="1"/>
      <c r="H15" s="1"/>
      <c r="I15" s="1"/>
    </row>
    <row r="16" spans="1:9" x14ac:dyDescent="0.4">
      <c r="A16" s="1" t="s">
        <v>119</v>
      </c>
      <c r="B16" s="1" t="s">
        <v>120</v>
      </c>
      <c r="C16" s="1"/>
      <c r="D16" s="1"/>
      <c r="E16" s="1"/>
      <c r="F16" s="1"/>
      <c r="G16" s="1"/>
      <c r="H16" s="1"/>
      <c r="I16" s="1"/>
    </row>
    <row r="17" spans="1:9" x14ac:dyDescent="0.4">
      <c r="A17" s="1" t="s">
        <v>121</v>
      </c>
      <c r="B17" s="1" t="s">
        <v>122</v>
      </c>
      <c r="C17" s="1"/>
      <c r="D17" s="1" t="s">
        <v>40</v>
      </c>
      <c r="E17" s="1"/>
      <c r="F17" s="1"/>
      <c r="G17" s="1"/>
      <c r="H17" s="1"/>
      <c r="I17" s="1"/>
    </row>
    <row r="18" spans="1:9" x14ac:dyDescent="0.4">
      <c r="A18" s="1" t="s">
        <v>123</v>
      </c>
      <c r="B18" s="1" t="s">
        <v>124</v>
      </c>
      <c r="C18" s="1"/>
      <c r="D18" s="1"/>
      <c r="E18" s="1"/>
      <c r="F18" s="1"/>
      <c r="G18" s="1"/>
      <c r="H18" s="1"/>
      <c r="I18" s="1"/>
    </row>
    <row r="19" spans="1:9" x14ac:dyDescent="0.4">
      <c r="A19" s="1" t="s">
        <v>125</v>
      </c>
      <c r="B19" s="1" t="s">
        <v>126</v>
      </c>
      <c r="C19" s="1"/>
      <c r="D19" s="1" t="s">
        <v>40</v>
      </c>
      <c r="E19" s="1"/>
      <c r="F19" s="1"/>
      <c r="G19" s="1"/>
      <c r="H19" s="1"/>
      <c r="I19" s="1"/>
    </row>
    <row r="20" spans="1:9" x14ac:dyDescent="0.4">
      <c r="A20" s="1" t="s">
        <v>127</v>
      </c>
      <c r="B20" s="1" t="s">
        <v>128</v>
      </c>
      <c r="C20" s="1"/>
      <c r="D20" s="1"/>
      <c r="E20" s="1"/>
      <c r="F20" s="1"/>
      <c r="G20" s="1"/>
      <c r="H20" s="1"/>
      <c r="I20" s="1"/>
    </row>
    <row r="21" spans="1:9" x14ac:dyDescent="0.4">
      <c r="A21" s="1" t="s">
        <v>102</v>
      </c>
      <c r="B21" s="1" t="s">
        <v>103</v>
      </c>
      <c r="C21" s="1"/>
      <c r="D21" s="1" t="s">
        <v>40</v>
      </c>
      <c r="E21" s="1" t="s">
        <v>40</v>
      </c>
      <c r="F21" s="1" t="s">
        <v>40</v>
      </c>
      <c r="G21" s="1" t="s">
        <v>40</v>
      </c>
      <c r="H21" s="1" t="s">
        <v>40</v>
      </c>
      <c r="I21" s="1" t="s">
        <v>40</v>
      </c>
    </row>
    <row r="22" spans="1:9" x14ac:dyDescent="0.4">
      <c r="A22" s="1" t="s">
        <v>10</v>
      </c>
      <c r="B22" s="1" t="s">
        <v>11</v>
      </c>
      <c r="C22" s="1"/>
      <c r="D22" s="1"/>
      <c r="E22" s="1"/>
      <c r="F22" s="1"/>
      <c r="G22" s="1"/>
      <c r="H22" s="1"/>
      <c r="I22" s="1"/>
    </row>
    <row r="23" spans="1:9" x14ac:dyDescent="0.4">
      <c r="A23" s="1" t="s">
        <v>4</v>
      </c>
      <c r="B23" s="1" t="s">
        <v>44</v>
      </c>
      <c r="C23" s="1"/>
      <c r="D23" s="1"/>
      <c r="E23" s="1"/>
      <c r="F23" s="1"/>
      <c r="G23" s="1"/>
      <c r="H23" s="1"/>
      <c r="I23" s="1"/>
    </row>
    <row r="24" spans="1:9" x14ac:dyDescent="0.4">
      <c r="A24" s="1" t="s">
        <v>66</v>
      </c>
      <c r="B24" s="1" t="s">
        <v>67</v>
      </c>
      <c r="C24" s="1"/>
      <c r="D24" s="1"/>
      <c r="E24" s="1"/>
      <c r="F24" s="1"/>
      <c r="G24" s="1"/>
      <c r="H24" s="1"/>
      <c r="I24" s="1"/>
    </row>
    <row r="25" spans="1:9" x14ac:dyDescent="0.4">
      <c r="A25" s="1" t="s">
        <v>16</v>
      </c>
      <c r="B25" s="1" t="s">
        <v>17</v>
      </c>
      <c r="C25" s="1"/>
      <c r="D25" s="1"/>
      <c r="E25" s="1"/>
      <c r="F25" s="1"/>
      <c r="G25" s="1"/>
      <c r="H25" s="1"/>
      <c r="I25" s="1"/>
    </row>
    <row r="26" spans="1:9" x14ac:dyDescent="0.4">
      <c r="A26" s="1" t="s">
        <v>12</v>
      </c>
      <c r="B26" s="1" t="s">
        <v>68</v>
      </c>
      <c r="C26" s="1"/>
      <c r="D26" s="1"/>
      <c r="E26" s="1"/>
      <c r="F26" s="1"/>
      <c r="G26" s="1"/>
      <c r="H26" s="1"/>
      <c r="I26" s="1"/>
    </row>
    <row r="27" spans="1:9" x14ac:dyDescent="0.4">
      <c r="A27" s="1" t="s">
        <v>5</v>
      </c>
      <c r="B27" s="1" t="s">
        <v>69</v>
      </c>
      <c r="C27" s="1"/>
      <c r="D27" s="1"/>
      <c r="E27" s="1"/>
      <c r="F27" s="1"/>
      <c r="G27" s="1"/>
      <c r="H27" s="1"/>
      <c r="I27" s="1"/>
    </row>
    <row r="28" spans="1:9" x14ac:dyDescent="0.4">
      <c r="A28" s="1" t="s">
        <v>9</v>
      </c>
      <c r="B28" s="1" t="s">
        <v>70</v>
      </c>
      <c r="C28" s="1"/>
      <c r="D28" s="1"/>
      <c r="E28" s="1"/>
      <c r="F28" s="1"/>
      <c r="G28" s="1"/>
      <c r="H28" s="1"/>
      <c r="I28" s="1"/>
    </row>
    <row r="29" spans="1:9" x14ac:dyDescent="0.4">
      <c r="A29" s="1" t="s">
        <v>71</v>
      </c>
      <c r="B29" s="1" t="s">
        <v>72</v>
      </c>
      <c r="C29" s="1"/>
      <c r="D29" s="1"/>
      <c r="E29" s="1"/>
      <c r="F29" s="1"/>
      <c r="G29" s="1"/>
      <c r="H29" s="1"/>
      <c r="I29" s="1"/>
    </row>
    <row r="30" spans="1:9" x14ac:dyDescent="0.4">
      <c r="A30" s="1" t="s">
        <v>96</v>
      </c>
      <c r="B30" s="1" t="s">
        <v>13</v>
      </c>
      <c r="C30" s="1"/>
      <c r="D30" s="1"/>
      <c r="E30" s="1"/>
      <c r="F30" s="1"/>
      <c r="G30" s="1"/>
      <c r="H30" s="1"/>
      <c r="I30" s="1"/>
    </row>
    <row r="31" spans="1:9" x14ac:dyDescent="0.4">
      <c r="A31" s="1" t="s">
        <v>73</v>
      </c>
      <c r="B31" s="1" t="s">
        <v>74</v>
      </c>
      <c r="C31" s="1"/>
      <c r="D31" s="1"/>
      <c r="E31" s="1"/>
      <c r="F31" s="1"/>
      <c r="G31" s="1"/>
      <c r="H31" s="1"/>
      <c r="I31" s="1"/>
    </row>
    <row r="32" spans="1:9" x14ac:dyDescent="0.4">
      <c r="A32" s="1" t="s">
        <v>75</v>
      </c>
      <c r="B32" s="1"/>
      <c r="C32" s="1"/>
      <c r="D32" s="1"/>
      <c r="E32" s="1"/>
      <c r="F32" s="1"/>
      <c r="G32" s="1"/>
      <c r="H32" s="1"/>
      <c r="I32" s="1"/>
    </row>
    <row r="33" spans="1:9" x14ac:dyDescent="0.4">
      <c r="A33" s="1" t="s">
        <v>76</v>
      </c>
      <c r="B33" s="1" t="s">
        <v>77</v>
      </c>
      <c r="C33" s="1"/>
      <c r="D33" s="1"/>
      <c r="E33" s="1"/>
      <c r="F33" s="1"/>
      <c r="G33" s="1"/>
      <c r="H33" s="1"/>
      <c r="I33" s="1"/>
    </row>
    <row r="34" spans="1:9" x14ac:dyDescent="0.4">
      <c r="A34" s="1" t="s">
        <v>78</v>
      </c>
      <c r="B34" s="1" t="s">
        <v>79</v>
      </c>
      <c r="C34" s="1"/>
      <c r="D34" s="1"/>
      <c r="E34" s="1"/>
      <c r="F34" s="1"/>
      <c r="G34" s="1"/>
      <c r="H34" s="1"/>
      <c r="I34" s="1"/>
    </row>
    <row r="35" spans="1:9" x14ac:dyDescent="0.4">
      <c r="A35" s="1" t="s">
        <v>80</v>
      </c>
      <c r="B35" s="1" t="s">
        <v>81</v>
      </c>
      <c r="C35" s="1"/>
      <c r="D35" s="1"/>
      <c r="E35" s="1"/>
      <c r="F35" s="1"/>
      <c r="G35" s="1"/>
      <c r="H35" s="1"/>
      <c r="I35" s="1"/>
    </row>
    <row r="36" spans="1:9" x14ac:dyDescent="0.4">
      <c r="A36" s="1" t="s">
        <v>82</v>
      </c>
      <c r="B36" s="1" t="s">
        <v>83</v>
      </c>
      <c r="C36" s="1"/>
      <c r="D36" s="1"/>
      <c r="E36" s="1"/>
      <c r="F36" s="1"/>
      <c r="G36" s="1"/>
      <c r="H36" s="1"/>
      <c r="I36" s="1"/>
    </row>
    <row r="37" spans="1:9" x14ac:dyDescent="0.4">
      <c r="A37" s="1" t="s">
        <v>97</v>
      </c>
      <c r="B37" s="1" t="s">
        <v>98</v>
      </c>
      <c r="C37" s="1"/>
      <c r="D37" s="1"/>
      <c r="E37" s="1"/>
      <c r="F37" s="1"/>
      <c r="G37" s="1"/>
      <c r="H37" s="1"/>
      <c r="I37" s="1"/>
    </row>
    <row r="38" spans="1:9" x14ac:dyDescent="0.4">
      <c r="A38" s="1" t="s">
        <v>84</v>
      </c>
      <c r="B38" s="1" t="s">
        <v>85</v>
      </c>
      <c r="C38" s="1"/>
      <c r="D38" s="1"/>
      <c r="E38" s="1"/>
      <c r="F38" s="1"/>
      <c r="G38" s="1"/>
      <c r="H38" s="1"/>
      <c r="I38" s="1"/>
    </row>
    <row r="39" spans="1:9" x14ac:dyDescent="0.4">
      <c r="A39" s="1" t="s">
        <v>99</v>
      </c>
      <c r="B39" s="1" t="s">
        <v>100</v>
      </c>
      <c r="C39" s="1"/>
      <c r="D39" s="1"/>
      <c r="E39" s="1"/>
      <c r="F39" s="1"/>
      <c r="G39" s="1"/>
      <c r="H39" s="1"/>
      <c r="I39" s="1"/>
    </row>
    <row r="40" spans="1:9" x14ac:dyDescent="0.4">
      <c r="A40" s="1" t="s">
        <v>86</v>
      </c>
      <c r="B40" s="1" t="s">
        <v>87</v>
      </c>
      <c r="C40" s="1"/>
      <c r="D40" s="1"/>
      <c r="E40" s="1"/>
      <c r="F40" s="1"/>
      <c r="G40" s="1"/>
      <c r="H40" s="1"/>
      <c r="I40" s="1"/>
    </row>
    <row r="41" spans="1:9" x14ac:dyDescent="0.4">
      <c r="A41" s="1" t="s">
        <v>20</v>
      </c>
      <c r="B41" s="1" t="s">
        <v>88</v>
      </c>
      <c r="C41" s="1"/>
      <c r="D41" s="1"/>
      <c r="E41" s="1"/>
      <c r="F41" s="1"/>
      <c r="G41" s="1"/>
      <c r="H41" s="1"/>
      <c r="I41" s="1"/>
    </row>
    <row r="42" spans="1:9" x14ac:dyDescent="0.4">
      <c r="A42" s="1" t="s">
        <v>89</v>
      </c>
      <c r="B42" s="1" t="s">
        <v>90</v>
      </c>
      <c r="C42" s="1"/>
      <c r="D42" s="1"/>
      <c r="E42" s="1"/>
      <c r="F42" s="1"/>
      <c r="G42" s="1"/>
      <c r="H42" s="1"/>
      <c r="I42" s="1"/>
    </row>
    <row r="43" spans="1:9" x14ac:dyDescent="0.4">
      <c r="A43" s="1" t="s">
        <v>91</v>
      </c>
      <c r="B43" s="1" t="s">
        <v>92</v>
      </c>
      <c r="C43" s="1"/>
      <c r="D43" s="1"/>
      <c r="E43" s="1"/>
      <c r="F43" s="1"/>
      <c r="G43" s="1"/>
      <c r="H43" s="1"/>
      <c r="I43" s="1"/>
    </row>
    <row r="44" spans="1:9" x14ac:dyDescent="0.4">
      <c r="A44" s="1" t="s">
        <v>23</v>
      </c>
      <c r="B44" s="1" t="s">
        <v>93</v>
      </c>
      <c r="C44" s="1"/>
      <c r="D44" s="1"/>
      <c r="E44" s="1"/>
      <c r="F44" s="1"/>
      <c r="G44" s="1"/>
      <c r="H44" s="1"/>
      <c r="I44" s="1"/>
    </row>
    <row r="45" spans="1:9" x14ac:dyDescent="0.4">
      <c r="A45" s="1" t="s">
        <v>94</v>
      </c>
      <c r="B45" s="1" t="s">
        <v>95</v>
      </c>
      <c r="C45" s="1"/>
      <c r="D45" s="1"/>
      <c r="E45" s="1"/>
      <c r="F45" s="1"/>
      <c r="G45" s="1"/>
      <c r="H45" s="1"/>
      <c r="I45" s="1"/>
    </row>
  </sheetData>
  <phoneticPr fontId="6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irframeWorkItem xmlns="a22b85e4-f449-4f98-84e2-e54a498cd7f8">
      <Url xsi:nil="true"/>
      <Description xsi:nil="true"/>
    </AirframeWorkItem>
    <PowerPlatformArea xmlns="a22b85e4-f449-4f98-84e2-e54a498cd7f8" xsi:nil="true"/>
    <_Flow_SignoffStatus xmlns="a22b85e4-f449-4f98-84e2-e54a498cd7f8" xsi:nil="true"/>
    <Status xmlns="a22b85e4-f449-4f98-84e2-e54a498cd7f8">New</Status>
    <Description xmlns="a22b85e4-f449-4f98-84e2-e54a498cd7f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26846848429246B0A204EDE153E387" ma:contentTypeVersion="18" ma:contentTypeDescription="Create a new document." ma:contentTypeScope="" ma:versionID="4b1ad121cf34ad7af48d0ad5abf1eea2">
  <xsd:schema xmlns:xsd="http://www.w3.org/2001/XMLSchema" xmlns:xs="http://www.w3.org/2001/XMLSchema" xmlns:p="http://schemas.microsoft.com/office/2006/metadata/properties" xmlns:ns2="a22b85e4-f449-4f98-84e2-e54a498cd7f8" xmlns:ns3="083c3d5b-944a-414f-8e24-258c95021001" targetNamespace="http://schemas.microsoft.com/office/2006/metadata/properties" ma:root="true" ma:fieldsID="79995e2cc4540fece3a2563e94c64282" ns2:_="" ns3:_="">
    <xsd:import namespace="a22b85e4-f449-4f98-84e2-e54a498cd7f8"/>
    <xsd:import namespace="083c3d5b-944a-414f-8e24-258c9502100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Status" minOccurs="0"/>
                <xsd:element ref="ns2:AirframeWorkItem" minOccurs="0"/>
                <xsd:element ref="ns2:Description" minOccurs="0"/>
                <xsd:element ref="ns2:PowerPlatformArea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2b85e4-f449-4f98-84e2-e54a498cd7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7" nillable="true" ma:displayName="Sign-off status" ma:internalName="Sign_x002d_off_x0020_status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Status" ma:index="21" nillable="true" ma:displayName="Status" ma:default="New" ma:description="Used for files in the Vlog channel" ma:format="Dropdown" ma:internalName="Status">
      <xsd:simpleType>
        <xsd:restriction base="dms:Choice">
          <xsd:enumeration value="New"/>
          <xsd:enumeration value="In Progress"/>
          <xsd:enumeration value="Feedback (Suggestion)"/>
          <xsd:enumeration value="Feedback (Needs Update)"/>
          <xsd:enumeration value="Completed"/>
        </xsd:restriction>
      </xsd:simpleType>
    </xsd:element>
    <xsd:element name="AirframeWorkItem" ma:index="22" nillable="true" ma:displayName="Airframe Work Item" ma:description="What (if any) work item is this file associated with" ma:format="Hyperlink" ma:internalName="AirframeWorkItem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Description" ma:index="23" nillable="true" ma:displayName="Description" ma:description="What is it?" ma:format="Dropdown" ma:internalName="Description">
      <xsd:simpleType>
        <xsd:restriction base="dms:Note">
          <xsd:maxLength value="255"/>
        </xsd:restriction>
      </xsd:simpleType>
    </xsd:element>
    <xsd:element name="PowerPlatformArea" ma:index="24" nillable="true" ma:displayName="Power Platform Area" ma:description="To what area of power platform does this reusable item pertain?" ma:format="Dropdown" ma:internalName="PowerPlatformArea">
      <xsd:simpleType>
        <xsd:restriction base="dms:Choice">
          <xsd:enumeration value="Dataverse"/>
          <xsd:enumeration value="Model Driven UI code"/>
          <xsd:enumeration value="Canvas Apps"/>
          <xsd:enumeration value="Cloud Flows"/>
          <xsd:enumeration value="Power BI"/>
        </xsd:restriction>
      </xsd:simpleType>
    </xsd:element>
    <xsd:element name="MediaLengthInSeconds" ma:index="25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3c3d5b-944a-414f-8e24-258c9502100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E9D707B0-68A1-4806-89F0-ACE6D356C2E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C633AD-6765-43E4-B071-E57969FC9960}">
  <ds:schemaRefs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http://schemas.microsoft.com/office/infopath/2007/PartnerControls"/>
    <ds:schemaRef ds:uri="083c3d5b-944a-414f-8e24-258c95021001"/>
    <ds:schemaRef ds:uri="http://purl.org/dc/dcmitype/"/>
    <ds:schemaRef ds:uri="a22b85e4-f449-4f98-84e2-e54a498cd7f8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91503296-072C-46AC-845D-D48C23720D2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2b85e4-f449-4f98-84e2-e54a498cd7f8"/>
    <ds:schemaRef ds:uri="083c3d5b-944a-414f-8e24-258c950210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2C879BB-CC96-411C-9A13-24DAD84C0C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Instructions</vt:lpstr>
      <vt:lpstr>Entities</vt:lpstr>
      <vt:lpstr>Column Names</vt:lpstr>
      <vt:lpstr>ColumnData</vt:lpstr>
      <vt:lpstr>Environment</vt:lpstr>
      <vt:lpstr>KeepColumns</vt:lpstr>
      <vt:lpstr>MCode</vt:lpstr>
      <vt:lpstr>ReNameColumns</vt:lpstr>
      <vt:lpstr>TableNameDisplay</vt:lpstr>
      <vt:lpstr>TableNameInternal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Graham-Brown, Laura</dc:creator>
  <cp:lastModifiedBy>Laura Graham-Brown</cp:lastModifiedBy>
  <dcterms:created xsi:type="dcterms:W3CDTF">2021-04-21T10:26:40Z</dcterms:created>
  <dcterms:modified xsi:type="dcterms:W3CDTF">2021-09-28T13:59:42Z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0x010100AC26846848429246B0A204EDE153E387</vt:lpwstr>
  </property>
</Properties>
</file>